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57a2803ac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Catalogue" sheetId="1" r:id="Rc99a1eaf7d9f49c4"/>
    <x:sheet xmlns:r="http://schemas.openxmlformats.org/officeDocument/2006/relationships" name="Customer Rate Card" sheetId="2" r:id="R14d4dd25b39d4859"/>
    <x:sheet xmlns:r="http://schemas.openxmlformats.org/officeDocument/2006/relationships" name="Packages" sheetId="3" r:id="Rda00686808e2438d"/>
    <x:sheet xmlns:r="http://schemas.openxmlformats.org/officeDocument/2006/relationships" name="Quick Quote" sheetId="4" r:id="R7e6570e7962e4b66"/>
    <x:sheet xmlns:r="http://schemas.openxmlformats.org/officeDocument/2006/relationships" name="Pricing Rules" sheetId="5" r:id="R93f5ea54690b4115"/>
    <x:sheet xmlns:r="http://schemas.openxmlformats.org/officeDocument/2006/relationships" name="Official Sources" sheetId="6" r:id="R6f890d65b0e9480e"/>
    <x:sheet xmlns:r="http://schemas.openxmlformats.org/officeDocument/2006/relationships" name="Dashboard" sheetId="7" r:id="R069c210c1051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.00"/>
    <x:numFmt numFmtId="201" formatCode="0.0%"/>
    <x:numFmt numFmtId="202" formatCode="dd-mmm-yyyy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5"/>
      <x:color rgb="FFFFFFFF"/>
      <x:name val="Carlito"/>
    </x:font>
    <x:font>
      <x:b/>
      <x:sz val="1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6E75"/>
      </x:patternFill>
    </x:fill>
    <x:fill>
      <x:patternFill patternType="solid">
        <x:fgColor rgb="FF123B5D"/>
      </x:patternFill>
    </x:fill>
    <x:fill>
      <x:patternFill patternType="solid">
        <x:fgColor rgb="FFEAF2F8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wrapText="1"/>
    </x:xf>
    <x:xf numFmtId="200" fontId="0" fillId="0" borderId="0" xfId="0" applyNumberFormat="1" applyFont="1" applyFill="1" applyBorder="1" applyAlignment="1">
      <x:alignment horizontal="right" wrapText="1"/>
    </x:xf>
    <x:xf numFmtId="200" fontId="0" fillId="0" borderId="1" xfId="0" applyNumberFormat="1" applyFont="1" applyFill="1" applyBorder="1" applyAlignment="1">
      <x:alignment horizontal="right" wrapText="1"/>
    </x:xf>
    <x:xf numFmtId="201" fontId="0" fillId="0" borderId="0" xfId="0" applyNumberFormat="1" applyFont="1" applyFill="1" applyBorder="1" applyAlignment="1">
      <x:alignment horizontal="right" wrapText="1"/>
    </x:xf>
    <x:xf numFmtId="201" fontId="0" fillId="0" borderId="1" xfId="0" applyNumberFormat="1" applyFont="1" applyFill="1" applyBorder="1" applyAlignment="1">
      <x:alignment horizontal="right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1" fontId="0" fillId="0" borderId="0" xfId="0" applyNumberFormat="1" applyFont="1" applyFill="1" applyBorder="1" applyAlignment="1">
      <x:alignment horizontal="right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horizontal="right" vertical="top" wrapText="1"/>
    </x:xf>
    <x:xf numFmtId="201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ill>
        <x:patternFill patternType="solid">
          <x:bgColor rgb="FFFFF3CD"/>
        </x:patternFill>
      </x:fill>
    </x:dxf>
    <x:dxf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555b953164524" /><Relationship Type="http://schemas.openxmlformats.org/officeDocument/2006/relationships/theme" Target="/xl/theme/theme1.xml" Id="R506afe29659048cb" /><Relationship Type="http://schemas.openxmlformats.org/officeDocument/2006/relationships/sharedStrings" Target="/xl/sharedStrings.xml" Id="R3d3420add52c48a8" /><Relationship Type="http://schemas.openxmlformats.org/officeDocument/2006/relationships/worksheet" Target="/xl/worksheets/sheet1.xml" Id="Rc99a1eaf7d9f49c4" /><Relationship Type="http://schemas.openxmlformats.org/officeDocument/2006/relationships/worksheet" Target="/xl/worksheets/sheet2.xml" Id="R14d4dd25b39d4859" /><Relationship Type="http://schemas.openxmlformats.org/officeDocument/2006/relationships/worksheet" Target="/xl/worksheets/sheet3.xml" Id="Rda00686808e2438d" /><Relationship Type="http://schemas.openxmlformats.org/officeDocument/2006/relationships/worksheet" Target="/xl/worksheets/sheet4.xml" Id="R7e6570e7962e4b66" /><Relationship Type="http://schemas.openxmlformats.org/officeDocument/2006/relationships/worksheet" Target="/xl/worksheets/sheet5.xml" Id="R93f5ea54690b4115" /><Relationship Type="http://schemas.openxmlformats.org/officeDocument/2006/relationships/worksheet" Target="/xl/worksheets/sheet6.xml" Id="R6f890d65b0e9480e" /><Relationship Type="http://schemas.openxmlformats.org/officeDocument/2006/relationships/worksheet" Target="/xl/worksheets/sheet7.xml" Id="R069c210c105147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ab89fded3146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Number of Services by Department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Services</c:v>
          </c:tx>
          <c:cat>
            <c:strRef>
              <c:f>'Dashboard'!$A$9:$A$18</c:f>
              <c:strCache>
                <c:ptCount val="0"/>
              </c:strCache>
            </c:strRef>
          </c:cat>
          <c:val>
            <c:numRef>
              <c:f>'Dashboard'!$B$9:$B$18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ab89fded3146d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ServiceTable" displayName="MasterServiceTable" ref="A1:P178" headerRowCount="1" totalsRowCount="0" totalsRowShown="0">
  <x:tableColumns count="16">
    <x:tableColumn id="1" name="ID"/>
    <x:tableColumn id="2" name="Category"/>
    <x:tableColumn id="3" name="Service"/>
    <x:tableColumn id="4" name="Recommended Charge (₹)"/>
    <x:tableColumn id="5" name="Final Customer Charge (₹)"/>
    <x:tableColumn id="6" name="Price Type"/>
    <x:tableColumn id="7" name="Official / Third-Party Fee"/>
    <x:tableColumn id="8" name="Estimated Internal Cost (₹)"/>
    <x:tableColumn id="9" name="Gross Margin (₹)"/>
    <x:tableColumn id="10" name="Margin %"/>
    <x:tableColumn id="11" name="Customer Display"/>
    <x:tableColumn id="12" name="Regulated / Verify"/>
    <x:tableColumn id="13" name="Typical Turnaround"/>
    <x:tableColumn id="14" name="Documents / Input"/>
    <x:tableColumn id="15" name="Notes / Conditions"/>
    <x:tableColumn id="16" name="Official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RateTable" displayName="CustomerRateTable" ref="A4:F100" headerRowCount="1" totalsRowCount="0" totalsRowShown="0">
  <x:tableColumns count="6">
    <x:tableColumn id="1" name="Category"/>
    <x:tableColumn id="2" name="Service"/>
    <x:tableColumn id="3" name="Customer Price (₹)"/>
    <x:tableColumn id="4" name="Price Type"/>
    <x:tableColumn id="5" name="Official / Other Fees"/>
    <x:tableColumn id="6" name="Important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agesTable" displayName="PackagesTable" ref="A1:H15" headerRowCount="1" totalsRowCount="0" totalsRowShown="0">
  <x:tableColumns count="8">
    <x:tableColumn id="1" name="Package"/>
    <x:tableColumn id="2" name="Segment"/>
    <x:tableColumn id="3" name="Customer Price (₹)"/>
    <x:tableColumn id="4" name="Estimated Internal Cost (₹)"/>
    <x:tableColumn id="5" name="Gross Margin (₹)"/>
    <x:tableColumn id="6" name="Margin %"/>
    <x:tableColumn id="7" name="Included Services"/>
    <x:tableColumn id="8" name="Conditions / Exclus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:D14" headerRowCount="1" totalsRowCount="0" totalsRowShown="0">
  <x:tableColumns count="4">
    <x:tableColumn id="1" name="Authority / Portal"/>
    <x:tableColumn id="2" name="Used For"/>
    <x:tableColumn id="3" name="Official URL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212624fc674e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15ac708d1f47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4f62ce6d2e4b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fd6cbaeabbd41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7d59aae33c574cd6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42" hidden="0" customWidth="1"/>
    <x:col min="4" max="4" width="17" hidden="0" customWidth="1"/>
    <x:col min="5" max="5" width="18" hidden="0" customWidth="1"/>
    <x:col min="6" max="6" width="16" hidden="0" customWidth="1"/>
    <x:col min="7" max="7" width="22" hidden="0" customWidth="1"/>
    <x:col min="8" max="8" width="18" hidden="0" customWidth="1"/>
    <x:col min="9" max="9" width="16" hidden="0" customWidth="1"/>
    <x:col min="10" max="10" width="11" hidden="0" customWidth="1"/>
    <x:col min="11" max="11" width="14" hidden="0" customWidth="1"/>
    <x:col min="12" max="12" width="16" hidden="0" customWidth="1"/>
    <x:col min="13" max="13" width="22" hidden="0" customWidth="1"/>
    <x:col min="14" max="14" width="34" hidden="0" customWidth="1"/>
    <x:col min="15" max="15" width="42" hidden="0" customWidth="1"/>
    <x:col min="16" max="16" width="42" hidden="0" customWidth="1"/>
  </x:cols>
  <x:sheetData>
    <x:row r="1" ht="32" customHeight="1">
      <x:c r="A1" s="20" t="str">
        <x:v>ID</x:v>
      </x:c>
      <x:c r="B1" s="20" t="str">
        <x:v>Category</x:v>
      </x:c>
      <x:c r="C1" s="20" t="str">
        <x:v>Service</x:v>
      </x:c>
      <x:c r="D1" s="20" t="str">
        <x:v>Recommended Charge (₹)</x:v>
      </x:c>
      <x:c r="E1" s="20" t="str">
        <x:v>Final Customer Charge (₹)</x:v>
      </x:c>
      <x:c r="F1" s="20" t="str">
        <x:v>Price Type</x:v>
      </x:c>
      <x:c r="G1" s="20" t="str">
        <x:v>Official / Third-Party Fee</x:v>
      </x:c>
      <x:c r="H1" s="20" t="str">
        <x:v>Estimated Internal Cost (₹)</x:v>
      </x:c>
      <x:c r="I1" s="20" t="str">
        <x:v>Gross Margin (₹)</x:v>
      </x:c>
      <x:c r="J1" s="20" t="str">
        <x:v>Margin %</x:v>
      </x:c>
      <x:c r="K1" s="20" t="str">
        <x:v>Customer Display</x:v>
      </x:c>
      <x:c r="L1" s="20" t="str">
        <x:v>Regulated / Verify</x:v>
      </x:c>
      <x:c r="M1" s="20" t="str">
        <x:v>Typical Turnaround</x:v>
      </x:c>
      <x:c r="N1" s="20" t="str">
        <x:v>Documents / Input</x:v>
      </x:c>
      <x:c r="O1" s="20" t="str">
        <x:v>Notes / Conditions</x:v>
      </x:c>
      <x:c r="P1" s="20" t="str">
        <x:v>Official Source</x:v>
      </x:c>
    </x:row>
    <x:row r="2">
      <x:c r="A2" s="21" t="n">
        <x:v>1</x:v>
      </x:c>
      <x:c r="B2" s="21" t="str">
        <x:v>Government &amp; Citizen Services</x:v>
      </x:c>
      <x:c r="C2" s="21" t="str">
        <x:v>New PAN application assistance</x:v>
      </x:c>
      <x:c r="D2" s="22" t="n">
        <x:v>250</x:v>
      </x:c>
      <x:c r="E2" s="22" t="n">
        <x:v>250</x:v>
      </x:c>
      <x:c r="F2" s="22" t="str">
        <x:v>Fixed</x:v>
      </x:c>
      <x:c r="G2" s="22" t="str">
        <x:v>Extra at actual</x:v>
      </x:c>
      <x:c r="H2" s="22" t="n">
        <x:v>35</x:v>
      </x:c>
      <x:c r="I2" s="22" t="n">
        <x:f>E2-H2</x:f>
        <x:v>215</x:v>
      </x:c>
      <x:c r="J2" s="23" t="n">
        <x:f>IFERROR(I2/E2,0)</x:f>
        <x:v>0.86</x:v>
      </x:c>
      <x:c r="K2" s="21" t="str">
        <x:v>Yes</x:v>
      </x:c>
      <x:c r="L2" s="21" t="str">
        <x:v>Yes</x:v>
      </x:c>
      <x:c r="M2" s="21" t="str">
        <x:v>Same day / depends on portal</x:v>
      </x:c>
      <x:c r="N2" s="21" t="str">
        <x:v>PAN application details + KYC documents</x:v>
      </x:c>
      <x:c r="O2" s="21" t="str">
        <x:v>Official PAN fee/provider charge extra.</x:v>
      </x:c>
      <x:c r="P2" s="21" t="str">
        <x:v>https://www.protean-tinpan.com/</x:v>
      </x:c>
    </x:row>
    <x:row r="3">
      <x:c r="A3" s="21" t="n">
        <x:v>2</x:v>
      </x:c>
      <x:c r="B3" s="21" t="str">
        <x:v>Government &amp; Citizen Services</x:v>
      </x:c>
      <x:c r="C3" s="21" t="str">
        <x:v>PAN correction assistance</x:v>
      </x:c>
      <x:c r="D3" s="22" t="n">
        <x:v>300</x:v>
      </x:c>
      <x:c r="E3" s="22" t="n">
        <x:v>300</x:v>
      </x:c>
      <x:c r="F3" s="22" t="str">
        <x:v>Fixed</x:v>
      </x:c>
      <x:c r="G3" s="22" t="str">
        <x:v>Extra at actual</x:v>
      </x:c>
      <x:c r="H3" s="22" t="n">
        <x:v>40</x:v>
      </x:c>
      <x:c r="I3" s="22" t="n">
        <x:f>E3-H3</x:f>
        <x:v>260</x:v>
      </x:c>
      <x:c r="J3" s="23" t="n">
        <x:f>IFERROR(I3/E3,0)</x:f>
        <x:v>0.8666666666666667</x:v>
      </x:c>
      <x:c r="K3" s="21" t="str">
        <x:v>Yes</x:v>
      </x:c>
      <x:c r="L3" s="21" t="str">
        <x:v>Yes</x:v>
      </x:c>
      <x:c r="M3" s="21" t="str">
        <x:v>Same day / depends on portal</x:v>
      </x:c>
      <x:c r="N3" s="21" t="str">
        <x:v>Existing PAN + correction proof</x:v>
      </x:c>
      <x:c r="O3" s="21" t="str"/>
      <x:c r="P3" s="21" t="str">
        <x:v>https://www.protean-tinpan.com/</x:v>
      </x:c>
    </x:row>
    <x:row r="4">
      <x:c r="A4" s="21" t="n">
        <x:v>3</x:v>
      </x:c>
      <x:c r="B4" s="21" t="str">
        <x:v>Government &amp; Citizen Services</x:v>
      </x:c>
      <x:c r="C4" s="21" t="str">
        <x:v>PAN reprint / e-PAN assistance</x:v>
      </x:c>
      <x:c r="D4" s="22" t="n">
        <x:v>150</x:v>
      </x:c>
      <x:c r="E4" s="22" t="n">
        <x:v>150</x:v>
      </x:c>
      <x:c r="F4" s="22" t="str">
        <x:v>Fixed</x:v>
      </x:c>
      <x:c r="G4" s="22" t="str">
        <x:v>Extra at actual</x:v>
      </x:c>
      <x:c r="H4" s="22" t="n">
        <x:v>20</x:v>
      </x:c>
      <x:c r="I4" s="22" t="n">
        <x:f>E4-H4</x:f>
        <x:v>130</x:v>
      </x:c>
      <x:c r="J4" s="23" t="n">
        <x:f>IFERROR(I4/E4,0)</x:f>
        <x:v>0.8666666666666667</x:v>
      </x:c>
      <x:c r="K4" s="21" t="str">
        <x:v>Yes</x:v>
      </x:c>
      <x:c r="L4" s="21" t="str">
        <x:v>Yes</x:v>
      </x:c>
      <x:c r="M4" s="21" t="str">
        <x:v>Same day / depends on portal</x:v>
      </x:c>
      <x:c r="N4" s="21" t="str">
        <x:v>PAN details + OTP access</x:v>
      </x:c>
      <x:c r="O4" s="21" t="str"/>
      <x:c r="P4" s="21" t="str">
        <x:v>https://www.protean-tinpan.com/</x:v>
      </x:c>
    </x:row>
    <x:row r="5">
      <x:c r="A5" s="21" t="n">
        <x:v>4</x:v>
      </x:c>
      <x:c r="B5" s="21" t="str">
        <x:v>Government &amp; Citizen Services</x:v>
      </x:c>
      <x:c r="C5" s="21" t="str">
        <x:v>PAN–Aadhaar linking assistance</x:v>
      </x:c>
      <x:c r="D5" s="22" t="n">
        <x:v>200</x:v>
      </x:c>
      <x:c r="E5" s="22" t="n">
        <x:v>200</x:v>
      </x:c>
      <x:c r="F5" s="22" t="str">
        <x:v>Fixed</x:v>
      </x:c>
      <x:c r="G5" s="22" t="str">
        <x:v>Extra at actual</x:v>
      </x:c>
      <x:c r="H5" s="22" t="n">
        <x:v>20</x:v>
      </x:c>
      <x:c r="I5" s="22" t="n">
        <x:f>E5-H5</x:f>
        <x:v>180</x:v>
      </x:c>
      <x:c r="J5" s="23" t="n">
        <x:f>IFERROR(I5/E5,0)</x:f>
        <x:v>0.9</x:v>
      </x:c>
      <x:c r="K5" s="21" t="str">
        <x:v>Yes</x:v>
      </x:c>
      <x:c r="L5" s="21" t="str">
        <x:v>Yes</x:v>
      </x:c>
      <x:c r="M5" s="21" t="str">
        <x:v>Same day / depends on portal</x:v>
      </x:c>
      <x:c r="N5" s="21" t="str">
        <x:v>PAN + Aadhaar details</x:v>
      </x:c>
      <x:c r="O5" s="21" t="str"/>
      <x:c r="P5" s="21" t="str">
        <x:v>https://www.incometax.gov.in/</x:v>
      </x:c>
    </x:row>
    <x:row r="6">
      <x:c r="A6" s="21" t="n">
        <x:v>5</x:v>
      </x:c>
      <x:c r="B6" s="21" t="str">
        <x:v>Government &amp; Citizen Services</x:v>
      </x:c>
      <x:c r="C6" s="21" t="str">
        <x:v>e-Aadhaar download &amp; print assistance</x:v>
      </x:c>
      <x:c r="D6" s="22" t="n">
        <x:v>50</x:v>
      </x:c>
      <x:c r="E6" s="22" t="n">
        <x:v>50</x:v>
      </x:c>
      <x:c r="F6" s="22" t="str">
        <x:v>Fixed</x:v>
      </x:c>
      <x:c r="G6" s="22" t="str">
        <x:v>Extra at actual</x:v>
      </x:c>
      <x:c r="H6" s="22" t="n">
        <x:v>8</x:v>
      </x:c>
      <x:c r="I6" s="22" t="n">
        <x:f>E6-H6</x:f>
        <x:v>42</x:v>
      </x:c>
      <x:c r="J6" s="23" t="n">
        <x:f>IFERROR(I6/E6,0)</x:f>
        <x:v>0.84</x:v>
      </x:c>
      <x:c r="K6" s="21" t="str">
        <x:v>Yes</x:v>
      </x:c>
      <x:c r="L6" s="21" t="str">
        <x:v>Yes</x:v>
      </x:c>
      <x:c r="M6" s="21" t="str">
        <x:v>Same day / depends on portal</x:v>
      </x:c>
      <x:c r="N6" s="21" t="str">
        <x:v>Aadhaar/VID + registered mobile</x:v>
      </x:c>
      <x:c r="O6" s="21" t="str">
        <x:v>Do not present as Aadhaar enrolment/update service unless authorized.</x:v>
      </x:c>
      <x:c r="P6" s="21" t="str">
        <x:v>https://uidai.gov.in/</x:v>
      </x:c>
    </x:row>
    <x:row r="7">
      <x:c r="A7" s="21" t="n">
        <x:v>6</x:v>
      </x:c>
      <x:c r="B7" s="21" t="str">
        <x:v>Government &amp; Citizen Services</x:v>
      </x:c>
      <x:c r="C7" s="21" t="str">
        <x:v>Aadhaar appointment / document guidance</x:v>
      </x:c>
      <x:c r="D7" s="22" t="n">
        <x:v>100</x:v>
      </x:c>
      <x:c r="E7" s="22" t="n">
        <x:v>100</x:v>
      </x:c>
      <x:c r="F7" s="22" t="str">
        <x:v>Fixed</x:v>
      </x:c>
      <x:c r="G7" s="22" t="str">
        <x:v>Extra at actual</x:v>
      </x:c>
      <x:c r="H7" s="22" t="n">
        <x:v>10</x:v>
      </x:c>
      <x:c r="I7" s="22" t="n">
        <x:f>E7-H7</x:f>
        <x:v>90</x:v>
      </x:c>
      <x:c r="J7" s="23" t="n">
        <x:f>IFERROR(I7/E7,0)</x:f>
        <x:v>0.9</x:v>
      </x:c>
      <x:c r="K7" s="21" t="str">
        <x:v>Yes</x:v>
      </x:c>
      <x:c r="L7" s="21" t="str">
        <x:v>Yes</x:v>
      </x:c>
      <x:c r="M7" s="21" t="str">
        <x:v>Same day / depends on portal</x:v>
      </x:c>
      <x:c r="N7" s="21" t="str">
        <x:v>Aadhaar + supporting document</x:v>
      </x:c>
      <x:c r="O7" s="21" t="str">
        <x:v>Assistance only; update performed at authorized Aadhaar centre.</x:v>
      </x:c>
      <x:c r="P7" s="21" t="str">
        <x:v>https://uidai.gov.in/</x:v>
      </x:c>
    </x:row>
    <x:row r="8">
      <x:c r="A8" s="21" t="n">
        <x:v>7</x:v>
      </x:c>
      <x:c r="B8" s="21" t="str">
        <x:v>Government &amp; Citizen Services</x:v>
      </x:c>
      <x:c r="C8" s="21" t="str">
        <x:v>Aadhaar PVC-style print service</x:v>
      </x:c>
      <x:c r="D8" s="22" t="n">
        <x:v>100</x:v>
      </x:c>
      <x:c r="E8" s="22" t="n">
        <x:v>100</x:v>
      </x:c>
      <x:c r="F8" s="22" t="str">
        <x:v>Per card</x:v>
      </x:c>
      <x:c r="G8" s="22" t="str">
        <x:v>Extra at actual</x:v>
      </x:c>
      <x:c r="H8" s="22" t="n">
        <x:v>25</x:v>
      </x:c>
      <x:c r="I8" s="22" t="n">
        <x:f>E8-H8</x:f>
        <x:v>75</x:v>
      </x:c>
      <x:c r="J8" s="23" t="n">
        <x:f>IFERROR(I8/E8,0)</x:f>
        <x:v>0.75</x:v>
      </x:c>
      <x:c r="K8" s="21" t="str">
        <x:v>Yes</x:v>
      </x:c>
      <x:c r="L8" s="21" t="str">
        <x:v>Yes</x:v>
      </x:c>
      <x:c r="M8" s="21" t="str">
        <x:v>Same day / depends on portal</x:v>
      </x:c>
      <x:c r="N8" s="21" t="str">
        <x:v>Customer-provided e-Aadhaar/PDF</x:v>
      </x:c>
      <x:c r="O8" s="21" t="str">
        <x:v>Clearly label as print/PVC service; not UIDAI-issued PVC unless ordered through UIDAI.</x:v>
      </x:c>
      <x:c r="P8" s="21" t="str">
        <x:v>https://uidai.gov.in/</x:v>
      </x:c>
    </x:row>
    <x:row r="9">
      <x:c r="A9" s="21" t="n">
        <x:v>8</x:v>
      </x:c>
      <x:c r="B9" s="21" t="str">
        <x:v>Government &amp; Citizen Services</x:v>
      </x:c>
      <x:c r="C9" s="21" t="str">
        <x:v>Voter ID new application assistance</x:v>
      </x:c>
      <x:c r="D9" s="22" t="n">
        <x:v>200</x:v>
      </x:c>
      <x:c r="E9" s="22" t="n">
        <x:v>200</x:v>
      </x:c>
      <x:c r="F9" s="22" t="str">
        <x:v>Fixed</x:v>
      </x:c>
      <x:c r="G9" s="22" t="str">
        <x:v>Extra at actual</x:v>
      </x:c>
      <x:c r="H9" s="22" t="n">
        <x:v>20</x:v>
      </x:c>
      <x:c r="I9" s="22" t="n">
        <x:f>E9-H9</x:f>
        <x:v>180</x:v>
      </x:c>
      <x:c r="J9" s="23" t="n">
        <x:f>IFERROR(I9/E9,0)</x:f>
        <x:v>0.9</x:v>
      </x:c>
      <x:c r="K9" s="21" t="str">
        <x:v>Yes</x:v>
      </x:c>
      <x:c r="L9" s="21" t="str">
        <x:v>Yes</x:v>
      </x:c>
      <x:c r="M9" s="21" t="str">
        <x:v>Same day / depends on portal</x:v>
      </x:c>
      <x:c r="N9" s="21" t="str">
        <x:v>Age/address proof + photo</x:v>
      </x:c>
      <x:c r="O9" s="21" t="str"/>
      <x:c r="P9" s="21" t="str">
        <x:v>https://voters.eci.gov.in/</x:v>
      </x:c>
    </x:row>
    <x:row r="10">
      <x:c r="A10" s="21" t="n">
        <x:v>9</x:v>
      </x:c>
      <x:c r="B10" s="21" t="str">
        <x:v>Government &amp; Citizen Services</x:v>
      </x:c>
      <x:c r="C10" s="21" t="str">
        <x:v>Voter ID correction / update assistance</x:v>
      </x:c>
      <x:c r="D10" s="22" t="n">
        <x:v>200</x:v>
      </x:c>
      <x:c r="E10" s="22" t="n">
        <x:v>200</x:v>
      </x:c>
      <x:c r="F10" s="22" t="str">
        <x:v>Fixed</x:v>
      </x:c>
      <x:c r="G10" s="22" t="str">
        <x:v>Extra at actual</x:v>
      </x:c>
      <x:c r="H10" s="22" t="n">
        <x:v>20</x:v>
      </x:c>
      <x:c r="I10" s="22" t="n">
        <x:f>E10-H10</x:f>
        <x:v>180</x:v>
      </x:c>
      <x:c r="J10" s="23" t="n">
        <x:f>IFERROR(I10/E10,0)</x:f>
        <x:v>0.9</x:v>
      </x:c>
      <x:c r="K10" s="21" t="str">
        <x:v>Yes</x:v>
      </x:c>
      <x:c r="L10" s="21" t="str">
        <x:v>Yes</x:v>
      </x:c>
      <x:c r="M10" s="21" t="str">
        <x:v>Same day / depends on portal</x:v>
      </x:c>
      <x:c r="N10" s="21" t="str">
        <x:v>Voter ID + supporting proof</x:v>
      </x:c>
      <x:c r="O10" s="21" t="str"/>
      <x:c r="P10" s="21" t="str">
        <x:v>https://voters.eci.gov.in/</x:v>
      </x:c>
    </x:row>
    <x:row r="11">
      <x:c r="A11" s="21" t="n">
        <x:v>10</x:v>
      </x:c>
      <x:c r="B11" s="21" t="str">
        <x:v>Government &amp; Citizen Services</x:v>
      </x:c>
      <x:c r="C11" s="21" t="str">
        <x:v>Passport new application assistance</x:v>
      </x:c>
      <x:c r="D11" s="22" t="n">
        <x:v>500</x:v>
      </x:c>
      <x:c r="E11" s="22" t="n">
        <x:v>500</x:v>
      </x:c>
      <x:c r="F11" s="22" t="str">
        <x:v>Fixed</x:v>
      </x:c>
      <x:c r="G11" s="22" t="str">
        <x:v>Extra at actual</x:v>
      </x:c>
      <x:c r="H11" s="22" t="n">
        <x:v>60</x:v>
      </x:c>
      <x:c r="I11" s="22" t="n">
        <x:f>E11-H11</x:f>
        <x:v>440</x:v>
      </x:c>
      <x:c r="J11" s="23" t="n">
        <x:f>IFERROR(I11/E11,0)</x:f>
        <x:v>0.88</x:v>
      </x:c>
      <x:c r="K11" s="21" t="str">
        <x:v>Yes</x:v>
      </x:c>
      <x:c r="L11" s="21" t="str">
        <x:v>Yes</x:v>
      </x:c>
      <x:c r="M11" s="21" t="str">
        <x:v>Same day / depends on portal</x:v>
      </x:c>
      <x:c r="N11" s="21" t="str">
        <x:v>Passport Seva required documents</x:v>
      </x:c>
      <x:c r="O11" s="21" t="str"/>
      <x:c r="P11" s="21" t="str">
        <x:v>https://www.passportindia.gov.in/</x:v>
      </x:c>
    </x:row>
    <x:row r="12">
      <x:c r="A12" s="21" t="n">
        <x:v>11</x:v>
      </x:c>
      <x:c r="B12" s="21" t="str">
        <x:v>Government &amp; Citizen Services</x:v>
      </x:c>
      <x:c r="C12" s="21" t="str">
        <x:v>Passport renewal assistance</x:v>
      </x:c>
      <x:c r="D12" s="22" t="n">
        <x:v>500</x:v>
      </x:c>
      <x:c r="E12" s="22" t="n">
        <x:v>500</x:v>
      </x:c>
      <x:c r="F12" s="22" t="str">
        <x:v>Fixed</x:v>
      </x:c>
      <x:c r="G12" s="22" t="str">
        <x:v>Extra at actual</x:v>
      </x:c>
      <x:c r="H12" s="22" t="n">
        <x:v>60</x:v>
      </x:c>
      <x:c r="I12" s="22" t="n">
        <x:f>E12-H12</x:f>
        <x:v>440</x:v>
      </x:c>
      <x:c r="J12" s="23" t="n">
        <x:f>IFERROR(I12/E12,0)</x:f>
        <x:v>0.88</x:v>
      </x:c>
      <x:c r="K12" s="21" t="str">
        <x:v>Yes</x:v>
      </x:c>
      <x:c r="L12" s="21" t="str">
        <x:v>Yes</x:v>
      </x:c>
      <x:c r="M12" s="21" t="str">
        <x:v>Same day / depends on portal</x:v>
      </x:c>
      <x:c r="N12" s="21" t="str">
        <x:v>Old passport + required documents</x:v>
      </x:c>
      <x:c r="O12" s="21" t="str"/>
      <x:c r="P12" s="21" t="str">
        <x:v>https://www.passportindia.gov.in/</x:v>
      </x:c>
    </x:row>
    <x:row r="13">
      <x:c r="A13" s="21" t="n">
        <x:v>12</x:v>
      </x:c>
      <x:c r="B13" s="21" t="str">
        <x:v>Government &amp; Citizen Services</x:v>
      </x:c>
      <x:c r="C13" s="21" t="str">
        <x:v>Police verification application assistance</x:v>
      </x:c>
      <x:c r="D13" s="22" t="n">
        <x:v>300</x:v>
      </x:c>
      <x:c r="E13" s="22" t="n">
        <x:v>300</x:v>
      </x:c>
      <x:c r="F13" s="22" t="str">
        <x:v>Fixed</x:v>
      </x:c>
      <x:c r="G13" s="22" t="str">
        <x:v>Extra at actual</x:v>
      </x:c>
      <x:c r="H13" s="22" t="n">
        <x:v>35</x:v>
      </x:c>
      <x:c r="I13" s="22" t="n">
        <x:f>E13-H13</x:f>
        <x:v>265</x:v>
      </x:c>
      <x:c r="J13" s="23" t="n">
        <x:f>IFERROR(I13/E13,0)</x:f>
        <x:v>0.8833333333333333</x:v>
      </x:c>
      <x:c r="K13" s="21" t="str">
        <x:v>Yes</x:v>
      </x:c>
      <x:c r="L13" s="21" t="str">
        <x:v>Yes</x:v>
      </x:c>
      <x:c r="M13" s="21" t="str">
        <x:v>Same day / depends on portal</x:v>
      </x:c>
      <x:c r="N13" s="21" t="str">
        <x:v>ID, address and purpose documents</x:v>
      </x:c>
      <x:c r="O13" s="21" t="str"/>
      <x:c r="P13" s="21" t="str">
        <x:v>https://aaplesarkar.mahaonline.gov.in/</x:v>
      </x:c>
    </x:row>
    <x:row r="14">
      <x:c r="A14" s="21" t="n">
        <x:v>13</x:v>
      </x:c>
      <x:c r="B14" s="21" t="str">
        <x:v>Government &amp; Citizen Services</x:v>
      </x:c>
      <x:c r="C14" s="21" t="str">
        <x:v>Driving licence online application assistance</x:v>
      </x:c>
      <x:c r="D14" s="22" t="n">
        <x:v>400</x:v>
      </x:c>
      <x:c r="E14" s="22" t="n">
        <x:v>400</x:v>
      </x:c>
      <x:c r="F14" s="22" t="str">
        <x:v>Fixed</x:v>
      </x:c>
      <x:c r="G14" s="22" t="str">
        <x:v>Extra at actual</x:v>
      </x:c>
      <x:c r="H14" s="22" t="n">
        <x:v>40</x:v>
      </x:c>
      <x:c r="I14" s="22" t="n">
        <x:f>E14-H14</x:f>
        <x:v>360</x:v>
      </x:c>
      <x:c r="J14" s="23" t="n">
        <x:f>IFERROR(I14/E14,0)</x:f>
        <x:v>0.9</x:v>
      </x:c>
      <x:c r="K14" s="21" t="str">
        <x:v>Yes</x:v>
      </x:c>
      <x:c r="L14" s="21" t="str">
        <x:v>Yes</x:v>
      </x:c>
      <x:c r="M14" s="21" t="str">
        <x:v>Same day / depends on portal</x:v>
      </x:c>
      <x:c r="N14" s="21" t="str">
        <x:v>Licence/learner details + KYC</x:v>
      </x:c>
      <x:c r="O14" s="21" t="str"/>
      <x:c r="P14" s="21" t="str">
        <x:v>https://parivahan.gov.in/</x:v>
      </x:c>
    </x:row>
    <x:row r="15">
      <x:c r="A15" s="21" t="n">
        <x:v>14</x:v>
      </x:c>
      <x:c r="B15" s="21" t="str">
        <x:v>Government &amp; Citizen Services</x:v>
      </x:c>
      <x:c r="C15" s="21" t="str">
        <x:v>RC transfer assistance – two-wheeler</x:v>
      </x:c>
      <x:c r="D15" s="22" t="n">
        <x:v>800</x:v>
      </x:c>
      <x:c r="E15" s="22" t="n">
        <x:v>800</x:v>
      </x:c>
      <x:c r="F15" s="22" t="str">
        <x:v>Fixed</x:v>
      </x:c>
      <x:c r="G15" s="22" t="str">
        <x:v>Extra at actual</x:v>
      </x:c>
      <x:c r="H15" s="22" t="n">
        <x:v>80</x:v>
      </x:c>
      <x:c r="I15" s="22" t="n">
        <x:f>E15-H15</x:f>
        <x:v>720</x:v>
      </x:c>
      <x:c r="J15" s="23" t="n">
        <x:f>IFERROR(I15/E15,0)</x:f>
        <x:v>0.9</x:v>
      </x:c>
      <x:c r="K15" s="21" t="str">
        <x:v>Yes</x:v>
      </x:c>
      <x:c r="L15" s="21" t="str">
        <x:v>Yes</x:v>
      </x:c>
      <x:c r="M15" s="21" t="str">
        <x:v>Same day / depends on portal</x:v>
      </x:c>
      <x:c r="N15" s="21" t="str">
        <x:v>RC, insurance, PUC, buyer/seller KYC</x:v>
      </x:c>
      <x:c r="O15" s="21" t="str"/>
      <x:c r="P15" s="21" t="str">
        <x:v>https://parivahan.gov.in/</x:v>
      </x:c>
    </x:row>
    <x:row r="16">
      <x:c r="A16" s="21" t="n">
        <x:v>15</x:v>
      </x:c>
      <x:c r="B16" s="21" t="str">
        <x:v>Government &amp; Citizen Services</x:v>
      </x:c>
      <x:c r="C16" s="21" t="str">
        <x:v>RC transfer assistance – four-wheeler</x:v>
      </x:c>
      <x:c r="D16" s="22" t="n">
        <x:v>1200</x:v>
      </x:c>
      <x:c r="E16" s="22" t="n">
        <x:v>1200</x:v>
      </x:c>
      <x:c r="F16" s="22" t="str">
        <x:v>Starting from</x:v>
      </x:c>
      <x:c r="G16" s="22" t="str">
        <x:v>Extra at actual</x:v>
      </x:c>
      <x:c r="H16" s="22" t="n">
        <x:v>120</x:v>
      </x:c>
      <x:c r="I16" s="22" t="n">
        <x:f>E16-H16</x:f>
        <x:v>1080</x:v>
      </x:c>
      <x:c r="J16" s="23" t="n">
        <x:f>IFERROR(I16/E16,0)</x:f>
        <x:v>0.9</x:v>
      </x:c>
      <x:c r="K16" s="21" t="str">
        <x:v>Yes</x:v>
      </x:c>
      <x:c r="L16" s="21" t="str">
        <x:v>Yes</x:v>
      </x:c>
      <x:c r="M16" s="21" t="str">
        <x:v>Same day / depends on portal</x:v>
      </x:c>
      <x:c r="N16" s="21" t="str">
        <x:v>RC, insurance, PUC, buyer/seller KYC</x:v>
      </x:c>
      <x:c r="O16" s="21" t="str"/>
      <x:c r="P16" s="21" t="str">
        <x:v>https://parivahan.gov.in/</x:v>
      </x:c>
    </x:row>
    <x:row r="17">
      <x:c r="A17" s="21" t="n">
        <x:v>16</x:v>
      </x:c>
      <x:c r="B17" s="21" t="str">
        <x:v>Government &amp; Citizen Services</x:v>
      </x:c>
      <x:c r="C17" s="21" t="str">
        <x:v>Vehicle NOC / hypothecation assistance</x:v>
      </x:c>
      <x:c r="D17" s="22" t="n">
        <x:v>600</x:v>
      </x:c>
      <x:c r="E17" s="22" t="n">
        <x:v>600</x:v>
      </x:c>
      <x:c r="F17" s="22" t="str">
        <x:v>Starting from</x:v>
      </x:c>
      <x:c r="G17" s="22" t="str">
        <x:v>Extra at actual</x:v>
      </x:c>
      <x:c r="H17" s="22" t="n">
        <x:v>60</x:v>
      </x:c>
      <x:c r="I17" s="22" t="n">
        <x:f>E17-H17</x:f>
        <x:v>540</x:v>
      </x:c>
      <x:c r="J17" s="23" t="n">
        <x:f>IFERROR(I17/E17,0)</x:f>
        <x:v>0.9</x:v>
      </x:c>
      <x:c r="K17" s="21" t="str">
        <x:v>Yes</x:v>
      </x:c>
      <x:c r="L17" s="21" t="str">
        <x:v>Yes</x:v>
      </x:c>
      <x:c r="M17" s="21" t="str">
        <x:v>Same day / depends on portal</x:v>
      </x:c>
      <x:c r="N17" s="21" t="str">
        <x:v>Vehicle documents as applicable</x:v>
      </x:c>
      <x:c r="O17" s="21" t="str"/>
      <x:c r="P17" s="21" t="str">
        <x:v>https://parivahan.gov.in/</x:v>
      </x:c>
    </x:row>
    <x:row r="18">
      <x:c r="A18" s="21" t="n">
        <x:v>17</x:v>
      </x:c>
      <x:c r="B18" s="21" t="str">
        <x:v>Government &amp; Citizen Services</x:v>
      </x:c>
      <x:c r="C18" s="21" t="str">
        <x:v>Income Certificate assistance</x:v>
      </x:c>
      <x:c r="D18" s="22" t="n">
        <x:v>250</x:v>
      </x:c>
      <x:c r="E18" s="22" t="n">
        <x:v>250</x:v>
      </x:c>
      <x:c r="F18" s="22" t="str">
        <x:v>Fixed</x:v>
      </x:c>
      <x:c r="G18" s="22" t="str">
        <x:v>Extra at actual</x:v>
      </x:c>
      <x:c r="H18" s="22" t="n">
        <x:v>25</x:v>
      </x:c>
      <x:c r="I18" s="22" t="n">
        <x:f>E18-H18</x:f>
        <x:v>225</x:v>
      </x:c>
      <x:c r="J18" s="23" t="n">
        <x:f>IFERROR(I18/E18,0)</x:f>
        <x:v>0.9</x:v>
      </x:c>
      <x:c r="K18" s="21" t="str">
        <x:v>Yes</x:v>
      </x:c>
      <x:c r="L18" s="21" t="str">
        <x:v>Yes</x:v>
      </x:c>
      <x:c r="M18" s="21" t="str">
        <x:v>Same day / depends on portal</x:v>
      </x:c>
      <x:c r="N18" s="21" t="str">
        <x:v>Income + identity/address documents</x:v>
      </x:c>
      <x:c r="O18" s="21" t="str"/>
      <x:c r="P18" s="21" t="str">
        <x:v>https://aaplesarkar.mahaonline.gov.in/</x:v>
      </x:c>
    </x:row>
    <x:row r="19">
      <x:c r="A19" s="21" t="n">
        <x:v>18</x:v>
      </x:c>
      <x:c r="B19" s="21" t="str">
        <x:v>Government &amp; Citizen Services</x:v>
      </x:c>
      <x:c r="C19" s="21" t="str">
        <x:v>Domicile Certificate assistance</x:v>
      </x:c>
      <x:c r="D19" s="22" t="n">
        <x:v>300</x:v>
      </x:c>
      <x:c r="E19" s="22" t="n">
        <x:v>300</x:v>
      </x:c>
      <x:c r="F19" s="22" t="str">
        <x:v>Fixed</x:v>
      </x:c>
      <x:c r="G19" s="22" t="str">
        <x:v>Extra at actual</x:v>
      </x:c>
      <x:c r="H19" s="22" t="n">
        <x:v>30</x:v>
      </x:c>
      <x:c r="I19" s="22" t="n">
        <x:f>E19-H19</x:f>
        <x:v>270</x:v>
      </x:c>
      <x:c r="J19" s="23" t="n">
        <x:f>IFERROR(I19/E19,0)</x:f>
        <x:v>0.9</x:v>
      </x:c>
      <x:c r="K19" s="21" t="str">
        <x:v>Yes</x:v>
      </x:c>
      <x:c r="L19" s="21" t="str">
        <x:v>Yes</x:v>
      </x:c>
      <x:c r="M19" s="21" t="str">
        <x:v>Same day / depends on portal</x:v>
      </x:c>
      <x:c r="N19" s="21" t="str">
        <x:v>Residence/education/birth proofs as applicable</x:v>
      </x:c>
      <x:c r="O19" s="21" t="str"/>
      <x:c r="P19" s="21" t="str">
        <x:v>https://aaplesarkar.mahaonline.gov.in/</x:v>
      </x:c>
    </x:row>
    <x:row r="20">
      <x:c r="A20" s="21" t="n">
        <x:v>19</x:v>
      </x:c>
      <x:c r="B20" s="21" t="str">
        <x:v>Government &amp; Citizen Services</x:v>
      </x:c>
      <x:c r="C20" s="21" t="str">
        <x:v>Age, Nationality &amp; Domicile assistance</x:v>
      </x:c>
      <x:c r="D20" s="22" t="n">
        <x:v>350</x:v>
      </x:c>
      <x:c r="E20" s="22" t="n">
        <x:v>350</x:v>
      </x:c>
      <x:c r="F20" s="22" t="str">
        <x:v>Fixed</x:v>
      </x:c>
      <x:c r="G20" s="22" t="str">
        <x:v>Extra at actual</x:v>
      </x:c>
      <x:c r="H20" s="22" t="n">
        <x:v>35</x:v>
      </x:c>
      <x:c r="I20" s="22" t="n">
        <x:f>E20-H20</x:f>
        <x:v>315</x:v>
      </x:c>
      <x:c r="J20" s="23" t="n">
        <x:f>IFERROR(I20/E20,0)</x:f>
        <x:v>0.9</x:v>
      </x:c>
      <x:c r="K20" s="21" t="str">
        <x:v>Yes</x:v>
      </x:c>
      <x:c r="L20" s="21" t="str">
        <x:v>Yes</x:v>
      </x:c>
      <x:c r="M20" s="21" t="str">
        <x:v>Same day / depends on portal</x:v>
      </x:c>
      <x:c r="N20" s="21" t="str">
        <x:v>Birth, residence and education proofs</x:v>
      </x:c>
      <x:c r="O20" s="21" t="str"/>
      <x:c r="P20" s="21" t="str">
        <x:v>https://aaplesarkar.mahaonline.gov.in/</x:v>
      </x:c>
    </x:row>
    <x:row r="21">
      <x:c r="A21" s="21" t="n">
        <x:v>20</x:v>
      </x:c>
      <x:c r="B21" s="21" t="str">
        <x:v>Government &amp; Citizen Services</x:v>
      </x:c>
      <x:c r="C21" s="21" t="str">
        <x:v>Caste Certificate application assistance</x:v>
      </x:c>
      <x:c r="D21" s="22" t="n">
        <x:v>400</x:v>
      </x:c>
      <x:c r="E21" s="22" t="n">
        <x:v>400</x:v>
      </x:c>
      <x:c r="F21" s="22" t="str">
        <x:v>Fixed</x:v>
      </x:c>
      <x:c r="G21" s="22" t="str">
        <x:v>Extra at actual</x:v>
      </x:c>
      <x:c r="H21" s="22" t="n">
        <x:v>40</x:v>
      </x:c>
      <x:c r="I21" s="22" t="n">
        <x:f>E21-H21</x:f>
        <x:v>360</x:v>
      </x:c>
      <x:c r="J21" s="23" t="n">
        <x:f>IFERROR(I21/E21,0)</x:f>
        <x:v>0.9</x:v>
      </x:c>
      <x:c r="K21" s="21" t="str">
        <x:v>Yes</x:v>
      </x:c>
      <x:c r="L21" s="21" t="str">
        <x:v>Yes</x:v>
      </x:c>
      <x:c r="M21" s="21" t="str">
        <x:v>Same day / depends on portal</x:v>
      </x:c>
      <x:c r="N21" s="21" t="str">
        <x:v>Family/caste/revenue records as applicable</x:v>
      </x:c>
      <x:c r="O21" s="21" t="str"/>
      <x:c r="P21" s="21" t="str">
        <x:v>https://aaplesarkar.mahaonline.gov.in/</x:v>
      </x:c>
    </x:row>
    <x:row r="22">
      <x:c r="A22" s="21" t="n">
        <x:v>21</x:v>
      </x:c>
      <x:c r="B22" s="21" t="str">
        <x:v>Government &amp; Citizen Services</x:v>
      </x:c>
      <x:c r="C22" s="21" t="str">
        <x:v>Non-Creamy Layer Certificate assistance</x:v>
      </x:c>
      <x:c r="D22" s="22" t="n">
        <x:v>450</x:v>
      </x:c>
      <x:c r="E22" s="22" t="n">
        <x:v>450</x:v>
      </x:c>
      <x:c r="F22" s="22" t="str">
        <x:v>Fixed</x:v>
      </x:c>
      <x:c r="G22" s="22" t="str">
        <x:v>Extra at actual</x:v>
      </x:c>
      <x:c r="H22" s="22" t="n">
        <x:v>45</x:v>
      </x:c>
      <x:c r="I22" s="22" t="n">
        <x:f>E22-H22</x:f>
        <x:v>405</x:v>
      </x:c>
      <x:c r="J22" s="23" t="n">
        <x:f>IFERROR(I22/E22,0)</x:f>
        <x:v>0.9</x:v>
      </x:c>
      <x:c r="K22" s="21" t="str">
        <x:v>Yes</x:v>
      </x:c>
      <x:c r="L22" s="21" t="str">
        <x:v>Yes</x:v>
      </x:c>
      <x:c r="M22" s="21" t="str">
        <x:v>Same day / depends on portal</x:v>
      </x:c>
      <x:c r="N22" s="21" t="str">
        <x:v>Income + caste + family documents</x:v>
      </x:c>
      <x:c r="O22" s="21" t="str"/>
      <x:c r="P22" s="21" t="str">
        <x:v>https://aaplesarkar.mahaonline.gov.in/</x:v>
      </x:c>
    </x:row>
    <x:row r="23">
      <x:c r="A23" s="21" t="n">
        <x:v>22</x:v>
      </x:c>
      <x:c r="B23" s="21" t="str">
        <x:v>Government &amp; Citizen Services</x:v>
      </x:c>
      <x:c r="C23" s="21" t="str">
        <x:v>Senior Citizen Certificate assistance</x:v>
      </x:c>
      <x:c r="D23" s="22" t="n">
        <x:v>250</x:v>
      </x:c>
      <x:c r="E23" s="22" t="n">
        <x:v>250</x:v>
      </x:c>
      <x:c r="F23" s="22" t="str">
        <x:v>Fixed</x:v>
      </x:c>
      <x:c r="G23" s="22" t="str">
        <x:v>Extra at actual</x:v>
      </x:c>
      <x:c r="H23" s="22" t="n">
        <x:v>25</x:v>
      </x:c>
      <x:c r="I23" s="22" t="n">
        <x:f>E23-H23</x:f>
        <x:v>225</x:v>
      </x:c>
      <x:c r="J23" s="23" t="n">
        <x:f>IFERROR(I23/E23,0)</x:f>
        <x:v>0.9</x:v>
      </x:c>
      <x:c r="K23" s="21" t="str">
        <x:v>Yes</x:v>
      </x:c>
      <x:c r="L23" s="21" t="str">
        <x:v>Yes</x:v>
      </x:c>
      <x:c r="M23" s="21" t="str">
        <x:v>Same day / depends on portal</x:v>
      </x:c>
      <x:c r="N23" s="21" t="str">
        <x:v>Age + address/identity proof</x:v>
      </x:c>
      <x:c r="O23" s="21" t="str"/>
      <x:c r="P23" s="21" t="str">
        <x:v>https://aaplesarkar.mahaonline.gov.in/</x:v>
      </x:c>
    </x:row>
    <x:row r="24">
      <x:c r="A24" s="21" t="n">
        <x:v>23</x:v>
      </x:c>
      <x:c r="B24" s="21" t="str">
        <x:v>Government &amp; Citizen Services</x:v>
      </x:c>
      <x:c r="C24" s="21" t="str">
        <x:v>Gazette name change documentation package</x:v>
      </x:c>
      <x:c r="D24" s="22" t="n">
        <x:v>1500</x:v>
      </x:c>
      <x:c r="E24" s="22" t="n">
        <x:v>1500</x:v>
      </x:c>
      <x:c r="F24" s="22" t="str">
        <x:v>Starting from</x:v>
      </x:c>
      <x:c r="G24" s="22" t="str">
        <x:v>Extra at actual</x:v>
      </x:c>
      <x:c r="H24" s="22" t="n">
        <x:v>180</x:v>
      </x:c>
      <x:c r="I24" s="22" t="n">
        <x:f>E24-H24</x:f>
        <x:v>1320</x:v>
      </x:c>
      <x:c r="J24" s="23" t="n">
        <x:f>IFERROR(I24/E24,0)</x:f>
        <x:v>0.88</x:v>
      </x:c>
      <x:c r="K24" s="21" t="str">
        <x:v>Yes</x:v>
      </x:c>
      <x:c r="L24" s="21" t="str">
        <x:v>Yes</x:v>
      </x:c>
      <x:c r="M24" s="21" t="str">
        <x:v>Same day / depends on portal</x:v>
      </x:c>
      <x:c r="N24" s="21" t="str">
        <x:v>Affidavit/newspaper/identity documents as applicable</x:v>
      </x:c>
      <x:c r="O24" s="21" t="str">
        <x:v>Publication/affidavit/notary/newspaper costs extra.</x:v>
      </x:c>
      <x:c r="P24" s="21" t="str">
        <x:v>https://dgps.maharashtra.gov.in/</x:v>
      </x:c>
    </x:row>
    <x:row r="25">
      <x:c r="A25" s="21" t="n">
        <x:v>24</x:v>
      </x:c>
      <x:c r="B25" s="21" t="str">
        <x:v>Government &amp; Citizen Services</x:v>
      </x:c>
      <x:c r="C25" s="21" t="str">
        <x:v>Name change affidavit drafting assistance</x:v>
      </x:c>
      <x:c r="D25" s="22" t="n">
        <x:v>400</x:v>
      </x:c>
      <x:c r="E25" s="22" t="n">
        <x:v>400</x:v>
      </x:c>
      <x:c r="F25" s="22" t="str">
        <x:v>Fixed</x:v>
      </x:c>
      <x:c r="G25" s="22" t="str">
        <x:v>Extra at actual</x:v>
      </x:c>
      <x:c r="H25" s="22" t="n">
        <x:v>60</x:v>
      </x:c>
      <x:c r="I25" s="22" t="n">
        <x:f>E25-H25</x:f>
        <x:v>340</x:v>
      </x:c>
      <x:c r="J25" s="23" t="n">
        <x:f>IFERROR(I25/E25,0)</x:f>
        <x:v>0.85</x:v>
      </x:c>
      <x:c r="K25" s="21" t="str">
        <x:v>Yes</x:v>
      </x:c>
      <x:c r="L25" s="21" t="str">
        <x:v>Yes</x:v>
      </x:c>
      <x:c r="M25" s="21" t="str">
        <x:v>Same day / depends on portal</x:v>
      </x:c>
      <x:c r="N25" s="21" t="str">
        <x:v>Old/new name + ID details</x:v>
      </x:c>
      <x:c r="O25" s="21" t="str">
        <x:v>Stamp/notary fee extra.</x:v>
      </x:c>
      <x:c r="P25" s="21" t="str"/>
    </x:row>
    <x:row r="26">
      <x:c r="A26" s="21" t="n">
        <x:v>25</x:v>
      </x:c>
      <x:c r="B26" s="21" t="str">
        <x:v>Government &amp; Citizen Services</x:v>
      </x:c>
      <x:c r="C26" s="21" t="str">
        <x:v>Gap affidavit / certificate drafting assistance</x:v>
      </x:c>
      <x:c r="D26" s="22" t="n">
        <x:v>400</x:v>
      </x:c>
      <x:c r="E26" s="22" t="n">
        <x:v>400</x:v>
      </x:c>
      <x:c r="F26" s="22" t="str">
        <x:v>Fixed</x:v>
      </x:c>
      <x:c r="G26" s="22" t="str">
        <x:v>Extra at actual</x:v>
      </x:c>
      <x:c r="H26" s="22" t="n">
        <x:v>60</x:v>
      </x:c>
      <x:c r="I26" s="22" t="n">
        <x:f>E26-H26</x:f>
        <x:v>340</x:v>
      </x:c>
      <x:c r="J26" s="23" t="n">
        <x:f>IFERROR(I26/E26,0)</x:f>
        <x:v>0.85</x:v>
      </x:c>
      <x:c r="K26" s="21" t="str">
        <x:v>Yes</x:v>
      </x:c>
      <x:c r="L26" s="21" t="str">
        <x:v>Yes</x:v>
      </x:c>
      <x:c r="M26" s="21" t="str">
        <x:v>Same day / depends on portal</x:v>
      </x:c>
      <x:c r="N26" s="21" t="str">
        <x:v>Education gap details + ID</x:v>
      </x:c>
      <x:c r="O26" s="21" t="str">
        <x:v>Stamp/notary fee extra.</x:v>
      </x:c>
      <x:c r="P26" s="21" t="str"/>
    </x:row>
    <x:row r="27">
      <x:c r="A27" s="21" t="n">
        <x:v>26</x:v>
      </x:c>
      <x:c r="B27" s="21" t="str">
        <x:v>Government &amp; Citizen Services</x:v>
      </x:c>
      <x:c r="C27" s="21" t="str">
        <x:v>General affidavit drafting assistance</x:v>
      </x:c>
      <x:c r="D27" s="22" t="n">
        <x:v>300</x:v>
      </x:c>
      <x:c r="E27" s="22" t="n">
        <x:v>300</x:v>
      </x:c>
      <x:c r="F27" s="22" t="str">
        <x:v>Starting from</x:v>
      </x:c>
      <x:c r="G27" s="22" t="str">
        <x:v>Extra at actual</x:v>
      </x:c>
      <x:c r="H27" s="22" t="n">
        <x:v>50</x:v>
      </x:c>
      <x:c r="I27" s="22" t="n">
        <x:f>E27-H27</x:f>
        <x:v>250</x:v>
      </x:c>
      <x:c r="J27" s="23" t="n">
        <x:f>IFERROR(I27/E27,0)</x:f>
        <x:v>0.8333333333333334</x:v>
      </x:c>
      <x:c r="K27" s="21" t="str">
        <x:v>Yes</x:v>
      </x:c>
      <x:c r="L27" s="21" t="str">
        <x:v>Yes</x:v>
      </x:c>
      <x:c r="M27" s="21" t="str">
        <x:v>Same day / depends on portal</x:v>
      </x:c>
      <x:c r="N27" s="21" t="str">
        <x:v>Case details + ID</x:v>
      </x:c>
      <x:c r="O27" s="21" t="str">
        <x:v>Legal review/notary/stamp extra where required.</x:v>
      </x:c>
      <x:c r="P27" s="21" t="str"/>
    </x:row>
    <x:row r="28">
      <x:c r="A28" s="21" t="n">
        <x:v>27</x:v>
      </x:c>
      <x:c r="B28" s="21" t="str">
        <x:v>Government &amp; Citizen Services</x:v>
      </x:c>
      <x:c r="C28" s="21" t="str">
        <x:v>Marriage certificate application assistance</x:v>
      </x:c>
      <x:c r="D28" s="22" t="n">
        <x:v>800</x:v>
      </x:c>
      <x:c r="E28" s="22" t="n">
        <x:v>800</x:v>
      </x:c>
      <x:c r="F28" s="22" t="str">
        <x:v>Starting from</x:v>
      </x:c>
      <x:c r="G28" s="22" t="str">
        <x:v>Extra at actual</x:v>
      </x:c>
      <x:c r="H28" s="22" t="n">
        <x:v>90</x:v>
      </x:c>
      <x:c r="I28" s="22" t="n">
        <x:f>E28-H28</x:f>
        <x:v>710</x:v>
      </x:c>
      <x:c r="J28" s="23" t="n">
        <x:f>IFERROR(I28/E28,0)</x:f>
        <x:v>0.8875</x:v>
      </x:c>
      <x:c r="K28" s="21" t="str">
        <x:v>Yes</x:v>
      </x:c>
      <x:c r="L28" s="21" t="str">
        <x:v>Yes</x:v>
      </x:c>
      <x:c r="M28" s="21" t="str">
        <x:v>Same day / depends on portal</x:v>
      </x:c>
      <x:c r="N28" s="21" t="str">
        <x:v>Marriage proof + couple/witness documents</x:v>
      </x:c>
      <x:c r="O28" s="21" t="str"/>
      <x:c r="P28" s="21" t="str">
        <x:v>https://www.mbmc.gov.in/</x:v>
      </x:c>
    </x:row>
    <x:row r="29">
      <x:c r="A29" s="21" t="n">
        <x:v>28</x:v>
      </x:c>
      <x:c r="B29" s="21" t="str">
        <x:v>Government &amp; Citizen Services</x:v>
      </x:c>
      <x:c r="C29" s="21" t="str">
        <x:v>Property tax name-change application drafting</x:v>
      </x:c>
      <x:c r="D29" s="22" t="n">
        <x:v>500</x:v>
      </x:c>
      <x:c r="E29" s="22" t="n">
        <x:v>500</x:v>
      </x:c>
      <x:c r="F29" s="22" t="str">
        <x:v>Fixed</x:v>
      </x:c>
      <x:c r="G29" s="22" t="str">
        <x:v>Extra at actual</x:v>
      </x:c>
      <x:c r="H29" s="22" t="n">
        <x:v>50</x:v>
      </x:c>
      <x:c r="I29" s="22" t="n">
        <x:f>E29-H29</x:f>
        <x:v>450</x:v>
      </x:c>
      <x:c r="J29" s="23" t="n">
        <x:f>IFERROR(I29/E29,0)</x:f>
        <x:v>0.9</x:v>
      </x:c>
      <x:c r="K29" s="21" t="str">
        <x:v>Yes</x:v>
      </x:c>
      <x:c r="L29" s="21" t="str">
        <x:v>Yes</x:v>
      </x:c>
      <x:c r="M29" s="21" t="str">
        <x:v>Same day / depends on portal</x:v>
      </x:c>
      <x:c r="N29" s="21" t="str">
        <x:v>Property papers + society/owner documents</x:v>
      </x:c>
      <x:c r="O29" s="21" t="str"/>
      <x:c r="P29" s="21" t="str">
        <x:v>https://www.mbmc.gov.in/</x:v>
      </x:c>
    </x:row>
    <x:row r="30">
      <x:c r="A30" s="21" t="n">
        <x:v>29</x:v>
      </x:c>
      <x:c r="B30" s="21" t="str">
        <x:v>Government &amp; Citizen Services</x:v>
      </x:c>
      <x:c r="C30" s="21" t="str">
        <x:v>Government grievance / petition drafting</x:v>
      </x:c>
      <x:c r="D30" s="22" t="n">
        <x:v>500</x:v>
      </x:c>
      <x:c r="E30" s="22" t="n">
        <x:v>500</x:v>
      </x:c>
      <x:c r="F30" s="22" t="str">
        <x:v>Starting from</x:v>
      </x:c>
      <x:c r="G30" s="22" t="str">
        <x:v>Extra at actual</x:v>
      </x:c>
      <x:c r="H30" s="22" t="n">
        <x:v>80</x:v>
      </x:c>
      <x:c r="I30" s="22" t="n">
        <x:f>E30-H30</x:f>
        <x:v>420</x:v>
      </x:c>
      <x:c r="J30" s="23" t="n">
        <x:f>IFERROR(I30/E30,0)</x:f>
        <x:v>0.84</x:v>
      </x:c>
      <x:c r="K30" s="21" t="str">
        <x:v>Yes</x:v>
      </x:c>
      <x:c r="L30" s="21" t="str">
        <x:v>Yes</x:v>
      </x:c>
      <x:c r="M30" s="21" t="str">
        <x:v>Same day / depends on portal</x:v>
      </x:c>
      <x:c r="N30" s="21" t="str">
        <x:v>Case chronology + supporting documents</x:v>
      </x:c>
      <x:c r="O30" s="21" t="str">
        <x:v>Legal representation not included.</x:v>
      </x:c>
      <x:c r="P30" s="21" t="str"/>
    </x:row>
    <x:row r="31">
      <x:c r="A31" s="21" t="n">
        <x:v>30</x:v>
      </x:c>
      <x:c r="B31" s="21" t="str">
        <x:v>Government &amp; Citizen Services</x:v>
      </x:c>
      <x:c r="C31" s="21" t="str">
        <x:v>RTI application drafting assistance</x:v>
      </x:c>
      <x:c r="D31" s="22" t="n">
        <x:v>500</x:v>
      </x:c>
      <x:c r="E31" s="22" t="n">
        <x:v>500</x:v>
      </x:c>
      <x:c r="F31" s="22" t="str">
        <x:v>Starting from</x:v>
      </x:c>
      <x:c r="G31" s="22" t="str">
        <x:v>Extra at actual</x:v>
      </x:c>
      <x:c r="H31" s="22" t="n">
        <x:v>70</x:v>
      </x:c>
      <x:c r="I31" s="22" t="n">
        <x:f>E31-H31</x:f>
        <x:v>430</x:v>
      </x:c>
      <x:c r="J31" s="23" t="n">
        <x:f>IFERROR(I31/E31,0)</x:f>
        <x:v>0.86</x:v>
      </x:c>
      <x:c r="K31" s="21" t="str">
        <x:v>Yes</x:v>
      </x:c>
      <x:c r="L31" s="21" t="str">
        <x:v>Yes</x:v>
      </x:c>
      <x:c r="M31" s="21" t="str">
        <x:v>Same day / depends on portal</x:v>
      </x:c>
      <x:c r="N31" s="21" t="str">
        <x:v>Issue details + public authority</x:v>
      </x:c>
      <x:c r="O31" s="21" t="str">
        <x:v>RTI filing fee/postage extra.</x:v>
      </x:c>
      <x:c r="P31" s="21" t="str">
        <x:v>https://rtionline.gov.in/</x:v>
      </x:c>
    </x:row>
    <x:row r="32">
      <x:c r="A32" s="21" t="n">
        <x:v>31</x:v>
      </x:c>
      <x:c r="B32" s="21" t="str">
        <x:v>Business Registration &amp; Compliance</x:v>
      </x:c>
      <x:c r="C32" s="21" t="str">
        <x:v>Udyam registration digital assistance</x:v>
      </x:c>
      <x:c r="D32" s="22" t="n">
        <x:v>300</x:v>
      </x:c>
      <x:c r="E32" s="22" t="n">
        <x:v>300</x:v>
      </x:c>
      <x:c r="F32" s="22" t="str">
        <x:v>Fixed</x:v>
      </x:c>
      <x:c r="G32" s="22" t="str">
        <x:v>Extra at actual</x:v>
      </x:c>
      <x:c r="H32" s="22" t="n">
        <x:v>20</x:v>
      </x:c>
      <x:c r="I32" s="22" t="n">
        <x:f>E32-H32</x:f>
        <x:v>280</x:v>
      </x:c>
      <x:c r="J32" s="23" t="n">
        <x:f>IFERROR(I32/E32,0)</x:f>
        <x:v>0.9333333333333333</x:v>
      </x:c>
      <x:c r="K32" s="21" t="str">
        <x:v>Yes</x:v>
      </x:c>
      <x:c r="L32" s="21" t="str">
        <x:v>Yes</x:v>
      </x:c>
      <x:c r="M32" s="21" t="str">
        <x:v>Same day / depends on portal</x:v>
      </x:c>
      <x:c r="N32" s="21" t="str">
        <x:v>Aadhaar/PAN/business details</x:v>
      </x:c>
      <x:c r="O32" s="21" t="str">
        <x:v>Udyam government registration is free; charge only for digital assistance.</x:v>
      </x:c>
      <x:c r="P32" s="21" t="str">
        <x:v>https://udyamregistration.gov.in/</x:v>
      </x:c>
    </x:row>
    <x:row r="33">
      <x:c r="A33" s="21" t="n">
        <x:v>32</x:v>
      </x:c>
      <x:c r="B33" s="21" t="str">
        <x:v>Business Registration &amp; Compliance</x:v>
      </x:c>
      <x:c r="C33" s="21" t="str">
        <x:v>Udyam update / activity update assistance</x:v>
      </x:c>
      <x:c r="D33" s="22" t="n">
        <x:v>250</x:v>
      </x:c>
      <x:c r="E33" s="22" t="n">
        <x:v>250</x:v>
      </x:c>
      <x:c r="F33" s="22" t="str">
        <x:v>Fixed</x:v>
      </x:c>
      <x:c r="G33" s="22" t="str">
        <x:v>Extra at actual</x:v>
      </x:c>
      <x:c r="H33" s="22" t="n">
        <x:v>20</x:v>
      </x:c>
      <x:c r="I33" s="22" t="n">
        <x:f>E33-H33</x:f>
        <x:v>230</x:v>
      </x:c>
      <x:c r="J33" s="23" t="n">
        <x:f>IFERROR(I33/E33,0)</x:f>
        <x:v>0.92</x:v>
      </x:c>
      <x:c r="K33" s="21" t="str">
        <x:v>Yes</x:v>
      </x:c>
      <x:c r="L33" s="21" t="str">
        <x:v>Yes</x:v>
      </x:c>
      <x:c r="M33" s="21" t="str">
        <x:v>Same day / depends on portal</x:v>
      </x:c>
      <x:c r="N33" s="21" t="str">
        <x:v>Udyam number + OTP/PAN details</x:v>
      </x:c>
      <x:c r="O33" s="21" t="str"/>
      <x:c r="P33" s="21" t="str">
        <x:v>https://udyamregistration.gov.in/</x:v>
      </x:c>
    </x:row>
    <x:row r="34">
      <x:c r="A34" s="21" t="n">
        <x:v>33</x:v>
      </x:c>
      <x:c r="B34" s="21" t="str">
        <x:v>Business Registration &amp; Compliance</x:v>
      </x:c>
      <x:c r="C34" s="21" t="str">
        <x:v>Gumasta / Shop Act intimation assistance</x:v>
      </x:c>
      <x:c r="D34" s="22" t="n">
        <x:v>500</x:v>
      </x:c>
      <x:c r="E34" s="22" t="n">
        <x:v>500</x:v>
      </x:c>
      <x:c r="F34" s="22" t="str">
        <x:v>Starting from</x:v>
      </x:c>
      <x:c r="G34" s="22" t="str">
        <x:v>Extra at actual</x:v>
      </x:c>
      <x:c r="H34" s="22" t="n">
        <x:v>50</x:v>
      </x:c>
      <x:c r="I34" s="22" t="n">
        <x:f>E34-H34</x:f>
        <x:v>450</x:v>
      </x:c>
      <x:c r="J34" s="23" t="n">
        <x:f>IFERROR(I34/E34,0)</x:f>
        <x:v>0.9</x:v>
      </x:c>
      <x:c r="K34" s="21" t="str">
        <x:v>Yes</x:v>
      </x:c>
      <x:c r="L34" s="21" t="str">
        <x:v>Yes</x:v>
      </x:c>
      <x:c r="M34" s="21" t="str">
        <x:v>Same day / depends on portal</x:v>
      </x:c>
      <x:c r="N34" s="21" t="str">
        <x:v>Business/address/owner documents</x:v>
      </x:c>
      <x:c r="O34" s="21" t="str"/>
      <x:c r="P34" s="21" t="str">
        <x:v>https://aaplesarkar.mahaonline.gov.in/</x:v>
      </x:c>
    </x:row>
    <x:row r="35">
      <x:c r="A35" s="21" t="n">
        <x:v>34</x:v>
      </x:c>
      <x:c r="B35" s="21" t="str">
        <x:v>Business Registration &amp; Compliance</x:v>
      </x:c>
      <x:c r="C35" s="21" t="str">
        <x:v>Shop Act registration assistance</x:v>
      </x:c>
      <x:c r="D35" s="22" t="n">
        <x:v>800</x:v>
      </x:c>
      <x:c r="E35" s="22" t="n">
        <x:v>800</x:v>
      </x:c>
      <x:c r="F35" s="22" t="str">
        <x:v>Starting from</x:v>
      </x:c>
      <x:c r="G35" s="22" t="str">
        <x:v>Extra at actual</x:v>
      </x:c>
      <x:c r="H35" s="22" t="n">
        <x:v>80</x:v>
      </x:c>
      <x:c r="I35" s="22" t="n">
        <x:f>E35-H35</x:f>
        <x:v>720</x:v>
      </x:c>
      <x:c r="J35" s="23" t="n">
        <x:f>IFERROR(I35/E35,0)</x:f>
        <x:v>0.9</x:v>
      </x:c>
      <x:c r="K35" s="21" t="str">
        <x:v>Yes</x:v>
      </x:c>
      <x:c r="L35" s="21" t="str">
        <x:v>Yes</x:v>
      </x:c>
      <x:c r="M35" s="21" t="str">
        <x:v>Same day / depends on portal</x:v>
      </x:c>
      <x:c r="N35" s="21" t="str">
        <x:v>Business/address/employee details</x:v>
      </x:c>
      <x:c r="O35" s="21" t="str"/>
      <x:c r="P35" s="21" t="str">
        <x:v>https://aaplesarkar.mahaonline.gov.in/</x:v>
      </x:c>
    </x:row>
    <x:row r="36">
      <x:c r="A36" s="21" t="n">
        <x:v>35</x:v>
      </x:c>
      <x:c r="B36" s="21" t="str">
        <x:v>Business Registration &amp; Compliance</x:v>
      </x:c>
      <x:c r="C36" s="21" t="str">
        <x:v>GST new registration assistance</x:v>
      </x:c>
      <x:c r="D36" s="22" t="n">
        <x:v>1200</x:v>
      </x:c>
      <x:c r="E36" s="22" t="n">
        <x:v>1200</x:v>
      </x:c>
      <x:c r="F36" s="22" t="str">
        <x:v>Starting from</x:v>
      </x:c>
      <x:c r="G36" s="22" t="str">
        <x:v>Extra at actual</x:v>
      </x:c>
      <x:c r="H36" s="22" t="n">
        <x:v>100</x:v>
      </x:c>
      <x:c r="I36" s="22" t="n">
        <x:f>E36-H36</x:f>
        <x:v>1100</x:v>
      </x:c>
      <x:c r="J36" s="23" t="n">
        <x:f>IFERROR(I36/E36,0)</x:f>
        <x:v>0.9166666666666666</x:v>
      </x:c>
      <x:c r="K36" s="21" t="str">
        <x:v>Yes</x:v>
      </x:c>
      <x:c r="L36" s="21" t="str">
        <x:v>Yes</x:v>
      </x:c>
      <x:c r="M36" s="21" t="str">
        <x:v>Same day / depends on portal</x:v>
      </x:c>
      <x:c r="N36" s="21" t="str">
        <x:v>PAN, Aadhaar, bank, address/business proof</x:v>
      </x:c>
      <x:c r="O36" s="21" t="str"/>
      <x:c r="P36" s="21" t="str">
        <x:v>https://www.gst.gov.in/</x:v>
      </x:c>
    </x:row>
    <x:row r="37">
      <x:c r="A37" s="21" t="n">
        <x:v>36</x:v>
      </x:c>
      <x:c r="B37" s="21" t="str">
        <x:v>Business Registration &amp; Compliance</x:v>
      </x:c>
      <x:c r="C37" s="21" t="str">
        <x:v>GST amendment assistance</x:v>
      </x:c>
      <x:c r="D37" s="22" t="n">
        <x:v>600</x:v>
      </x:c>
      <x:c r="E37" s="22" t="n">
        <x:v>600</x:v>
      </x:c>
      <x:c r="F37" s="22" t="str">
        <x:v>Starting from</x:v>
      </x:c>
      <x:c r="G37" s="22" t="str">
        <x:v>Extra at actual</x:v>
      </x:c>
      <x:c r="H37" s="22" t="n">
        <x:v>60</x:v>
      </x:c>
      <x:c r="I37" s="22" t="n">
        <x:f>E37-H37</x:f>
        <x:v>540</x:v>
      </x:c>
      <x:c r="J37" s="23" t="n">
        <x:f>IFERROR(I37/E37,0)</x:f>
        <x:v>0.9</x:v>
      </x:c>
      <x:c r="K37" s="21" t="str">
        <x:v>Yes</x:v>
      </x:c>
      <x:c r="L37" s="21" t="str">
        <x:v>Yes</x:v>
      </x:c>
      <x:c r="M37" s="21" t="str">
        <x:v>Same day / depends on portal</x:v>
      </x:c>
      <x:c r="N37" s="21" t="str">
        <x:v>GSTIN + amendment proof</x:v>
      </x:c>
      <x:c r="O37" s="21" t="str"/>
      <x:c r="P37" s="21" t="str">
        <x:v>https://www.gst.gov.in/</x:v>
      </x:c>
    </x:row>
    <x:row r="38">
      <x:c r="A38" s="21" t="n">
        <x:v>37</x:v>
      </x:c>
      <x:c r="B38" s="21" t="str">
        <x:v>Business Registration &amp; Compliance</x:v>
      </x:c>
      <x:c r="C38" s="21" t="str">
        <x:v>GST cancellation assistance</x:v>
      </x:c>
      <x:c r="D38" s="22" t="n">
        <x:v>800</x:v>
      </x:c>
      <x:c r="E38" s="22" t="n">
        <x:v>800</x:v>
      </x:c>
      <x:c r="F38" s="22" t="str">
        <x:v>Starting from</x:v>
      </x:c>
      <x:c r="G38" s="22" t="str">
        <x:v>Extra at actual</x:v>
      </x:c>
      <x:c r="H38" s="22" t="n">
        <x:v>80</x:v>
      </x:c>
      <x:c r="I38" s="22" t="n">
        <x:f>E38-H38</x:f>
        <x:v>720</x:v>
      </x:c>
      <x:c r="J38" s="23" t="n">
        <x:f>IFERROR(I38/E38,0)</x:f>
        <x:v>0.9</x:v>
      </x:c>
      <x:c r="K38" s="21" t="str">
        <x:v>Yes</x:v>
      </x:c>
      <x:c r="L38" s="21" t="str">
        <x:v>Yes</x:v>
      </x:c>
      <x:c r="M38" s="21" t="str">
        <x:v>Same day / depends on portal</x:v>
      </x:c>
      <x:c r="N38" s="21" t="str">
        <x:v>GSTIN + reason/supporting documents</x:v>
      </x:c>
      <x:c r="O38" s="21" t="str"/>
      <x:c r="P38" s="21" t="str">
        <x:v>https://www.gst.gov.in/</x:v>
      </x:c>
    </x:row>
    <x:row r="39">
      <x:c r="A39" s="21" t="n">
        <x:v>38</x:v>
      </x:c>
      <x:c r="B39" s="21" t="str">
        <x:v>Business Registration &amp; Compliance</x:v>
      </x:c>
      <x:c r="C39" s="21" t="str">
        <x:v>GST LUT application assistance</x:v>
      </x:c>
      <x:c r="D39" s="22" t="n">
        <x:v>500</x:v>
      </x:c>
      <x:c r="E39" s="22" t="n">
        <x:v>500</x:v>
      </x:c>
      <x:c r="F39" s="22" t="str">
        <x:v>Fixed</x:v>
      </x:c>
      <x:c r="G39" s="22" t="str">
        <x:v>Extra at actual</x:v>
      </x:c>
      <x:c r="H39" s="22" t="n">
        <x:v>50</x:v>
      </x:c>
      <x:c r="I39" s="22" t="n">
        <x:f>E39-H39</x:f>
        <x:v>450</x:v>
      </x:c>
      <x:c r="J39" s="23" t="n">
        <x:f>IFERROR(I39/E39,0)</x:f>
        <x:v>0.9</x:v>
      </x:c>
      <x:c r="K39" s="21" t="str">
        <x:v>Yes</x:v>
      </x:c>
      <x:c r="L39" s="21" t="str">
        <x:v>Yes</x:v>
      </x:c>
      <x:c r="M39" s="21" t="str">
        <x:v>Same day / depends on portal</x:v>
      </x:c>
      <x:c r="N39" s="21" t="str">
        <x:v>GSTIN + export details</x:v>
      </x:c>
      <x:c r="O39" s="21" t="str"/>
      <x:c r="P39" s="21" t="str">
        <x:v>https://www.gst.gov.in/</x:v>
      </x:c>
    </x:row>
    <x:row r="40">
      <x:c r="A40" s="21" t="n">
        <x:v>39</x:v>
      </x:c>
      <x:c r="B40" s="21" t="str">
        <x:v>Business Registration &amp; Compliance</x:v>
      </x:c>
      <x:c r="C40" s="21" t="str">
        <x:v>GST registration certificate download / basic portal help</x:v>
      </x:c>
      <x:c r="D40" s="22" t="n">
        <x:v>200</x:v>
      </x:c>
      <x:c r="E40" s="22" t="n">
        <x:v>200</x:v>
      </x:c>
      <x:c r="F40" s="22" t="str">
        <x:v>Fixed</x:v>
      </x:c>
      <x:c r="G40" s="22" t="str">
        <x:v>Extra at actual</x:v>
      </x:c>
      <x:c r="H40" s="22" t="n">
        <x:v>20</x:v>
      </x:c>
      <x:c r="I40" s="22" t="n">
        <x:f>E40-H40</x:f>
        <x:v>180</x:v>
      </x:c>
      <x:c r="J40" s="23" t="n">
        <x:f>IFERROR(I40/E40,0)</x:f>
        <x:v>0.9</x:v>
      </x:c>
      <x:c r="K40" s="21" t="str">
        <x:v>Yes</x:v>
      </x:c>
      <x:c r="L40" s="21" t="str">
        <x:v>Yes</x:v>
      </x:c>
      <x:c r="M40" s="21" t="str">
        <x:v>Same day / depends on portal</x:v>
      </x:c>
      <x:c r="N40" s="21" t="str">
        <x:v>GST credentials/OTP</x:v>
      </x:c>
      <x:c r="O40" s="21" t="str"/>
      <x:c r="P40" s="21" t="str">
        <x:v>https://www.gst.gov.in/</x:v>
      </x:c>
    </x:row>
    <x:row r="41">
      <x:c r="A41" s="21" t="n">
        <x:v>40</x:v>
      </x:c>
      <x:c r="B41" s="21" t="str">
        <x:v>Business Registration &amp; Compliance</x:v>
      </x:c>
      <x:c r="C41" s="21" t="str">
        <x:v>PTEC registration assistance</x:v>
      </x:c>
      <x:c r="D41" s="22" t="n">
        <x:v>800</x:v>
      </x:c>
      <x:c r="E41" s="22" t="n">
        <x:v>800</x:v>
      </x:c>
      <x:c r="F41" s="22" t="str">
        <x:v>Starting from</x:v>
      </x:c>
      <x:c r="G41" s="22" t="str">
        <x:v>Extra at actual</x:v>
      </x:c>
      <x:c r="H41" s="22" t="n">
        <x:v>70</x:v>
      </x:c>
      <x:c r="I41" s="22" t="n">
        <x:f>E41-H41</x:f>
        <x:v>730</x:v>
      </x:c>
      <x:c r="J41" s="23" t="n">
        <x:f>IFERROR(I41/E41,0)</x:f>
        <x:v>0.9125</x:v>
      </x:c>
      <x:c r="K41" s="21" t="str">
        <x:v>Yes</x:v>
      </x:c>
      <x:c r="L41" s="21" t="str">
        <x:v>Yes</x:v>
      </x:c>
      <x:c r="M41" s="21" t="str">
        <x:v>Same day / depends on portal</x:v>
      </x:c>
      <x:c r="N41" s="21" t="str">
        <x:v>PAN + business/profession details</x:v>
      </x:c>
      <x:c r="O41" s="21" t="str"/>
      <x:c r="P41" s="21" t="str">
        <x:v>https://www.mahagst.gov.in/user-registration/pt</x:v>
      </x:c>
    </x:row>
    <x:row r="42">
      <x:c r="A42" s="21" t="n">
        <x:v>41</x:v>
      </x:c>
      <x:c r="B42" s="21" t="str">
        <x:v>Business Registration &amp; Compliance</x:v>
      </x:c>
      <x:c r="C42" s="21" t="str">
        <x:v>PTRC registration assistance</x:v>
      </x:c>
      <x:c r="D42" s="22" t="n">
        <x:v>1000</x:v>
      </x:c>
      <x:c r="E42" s="22" t="n">
        <x:v>1000</x:v>
      </x:c>
      <x:c r="F42" s="22" t="str">
        <x:v>Starting from</x:v>
      </x:c>
      <x:c r="G42" s="22" t="str">
        <x:v>Extra at actual</x:v>
      </x:c>
      <x:c r="H42" s="22" t="n">
        <x:v>90</x:v>
      </x:c>
      <x:c r="I42" s="22" t="n">
        <x:f>E42-H42</x:f>
        <x:v>910</x:v>
      </x:c>
      <x:c r="J42" s="23" t="n">
        <x:f>IFERROR(I42/E42,0)</x:f>
        <x:v>0.91</x:v>
      </x:c>
      <x:c r="K42" s="21" t="str">
        <x:v>Yes</x:v>
      </x:c>
      <x:c r="L42" s="21" t="str">
        <x:v>Yes</x:v>
      </x:c>
      <x:c r="M42" s="21" t="str">
        <x:v>Same day / depends on portal</x:v>
      </x:c>
      <x:c r="N42" s="21" t="str">
        <x:v>PAN + employee/payroll details</x:v>
      </x:c>
      <x:c r="O42" s="21" t="str"/>
      <x:c r="P42" s="21" t="str">
        <x:v>https://www.mahagst.gov.in/user-registration/pt</x:v>
      </x:c>
    </x:row>
    <x:row r="43">
      <x:c r="A43" s="21" t="n">
        <x:v>42</x:v>
      </x:c>
      <x:c r="B43" s="21" t="str">
        <x:v>Business Registration &amp; Compliance</x:v>
      </x:c>
      <x:c r="C43" s="21" t="str">
        <x:v>PTEC + PTRC combined assistance</x:v>
      </x:c>
      <x:c r="D43" s="22" t="n">
        <x:v>1500</x:v>
      </x:c>
      <x:c r="E43" s="22" t="n">
        <x:v>1500</x:v>
      </x:c>
      <x:c r="F43" s="22" t="str">
        <x:v>Starting from</x:v>
      </x:c>
      <x:c r="G43" s="22" t="str">
        <x:v>Extra at actual</x:v>
      </x:c>
      <x:c r="H43" s="22" t="n">
        <x:v>120</x:v>
      </x:c>
      <x:c r="I43" s="22" t="n">
        <x:f>E43-H43</x:f>
        <x:v>1380</x:v>
      </x:c>
      <x:c r="J43" s="23" t="n">
        <x:f>IFERROR(I43/E43,0)</x:f>
        <x:v>0.92</x:v>
      </x:c>
      <x:c r="K43" s="21" t="str">
        <x:v>Yes</x:v>
      </x:c>
      <x:c r="L43" s="21" t="str">
        <x:v>Yes</x:v>
      </x:c>
      <x:c r="M43" s="21" t="str">
        <x:v>Same day / depends on portal</x:v>
      </x:c>
      <x:c r="N43" s="21" t="str">
        <x:v>Business + employee details</x:v>
      </x:c>
      <x:c r="O43" s="21" t="str"/>
      <x:c r="P43" s="21" t="str">
        <x:v>https://www.mahagst.gov.in/user-registration/pt</x:v>
      </x:c>
    </x:row>
    <x:row r="44">
      <x:c r="A44" s="21" t="n">
        <x:v>43</x:v>
      </x:c>
      <x:c r="B44" s="21" t="str">
        <x:v>Business Registration &amp; Compliance</x:v>
      </x:c>
      <x:c r="C44" s="21" t="str">
        <x:v>IEC (Import Export Code) application assistance</x:v>
      </x:c>
      <x:c r="D44" s="22" t="n">
        <x:v>1000</x:v>
      </x:c>
      <x:c r="E44" s="22" t="n">
        <x:v>1000</x:v>
      </x:c>
      <x:c r="F44" s="22" t="str">
        <x:v>Fixed</x:v>
      </x:c>
      <x:c r="G44" s="22" t="str">
        <x:v>Extra at actual</x:v>
      </x:c>
      <x:c r="H44" s="22" t="n">
        <x:v>90</x:v>
      </x:c>
      <x:c r="I44" s="22" t="n">
        <x:f>E44-H44</x:f>
        <x:v>910</x:v>
      </x:c>
      <x:c r="J44" s="23" t="n">
        <x:f>IFERROR(I44/E44,0)</x:f>
        <x:v>0.91</x:v>
      </x:c>
      <x:c r="K44" s="21" t="str">
        <x:v>Yes</x:v>
      </x:c>
      <x:c r="L44" s="21" t="str">
        <x:v>Yes</x:v>
      </x:c>
      <x:c r="M44" s="21" t="str">
        <x:v>Same day / depends on portal</x:v>
      </x:c>
      <x:c r="N44" s="21" t="str">
        <x:v>PAN, bank, address/business details</x:v>
      </x:c>
      <x:c r="O44" s="21" t="str"/>
      <x:c r="P44" s="21" t="str">
        <x:v>https://www.dgft.gov.in/CP/</x:v>
      </x:c>
    </x:row>
    <x:row r="45">
      <x:c r="A45" s="21" t="n">
        <x:v>44</x:v>
      </x:c>
      <x:c r="B45" s="21" t="str">
        <x:v>Business Registration &amp; Compliance</x:v>
      </x:c>
      <x:c r="C45" s="21" t="str">
        <x:v>IEC modification / annual confirmation assistance</x:v>
      </x:c>
      <x:c r="D45" s="22" t="n">
        <x:v>500</x:v>
      </x:c>
      <x:c r="E45" s="22" t="n">
        <x:v>500</x:v>
      </x:c>
      <x:c r="F45" s="22" t="str">
        <x:v>Fixed</x:v>
      </x:c>
      <x:c r="G45" s="22" t="str">
        <x:v>Extra at actual</x:v>
      </x:c>
      <x:c r="H45" s="22" t="n">
        <x:v>40</x:v>
      </x:c>
      <x:c r="I45" s="22" t="n">
        <x:f>E45-H45</x:f>
        <x:v>460</x:v>
      </x:c>
      <x:c r="J45" s="23" t="n">
        <x:f>IFERROR(I45/E45,0)</x:f>
        <x:v>0.92</x:v>
      </x:c>
      <x:c r="K45" s="21" t="str">
        <x:v>Yes</x:v>
      </x:c>
      <x:c r="L45" s="21" t="str">
        <x:v>Yes</x:v>
      </x:c>
      <x:c r="M45" s="21" t="str">
        <x:v>Same day / depends on portal</x:v>
      </x:c>
      <x:c r="N45" s="21" t="str">
        <x:v>IEC + updated details</x:v>
      </x:c>
      <x:c r="O45" s="21" t="str"/>
      <x:c r="P45" s="21" t="str">
        <x:v>https://www.dgft.gov.in/CP/</x:v>
      </x:c>
    </x:row>
    <x:row r="46">
      <x:c r="A46" s="21" t="n">
        <x:v>45</x:v>
      </x:c>
      <x:c r="B46" s="21" t="str">
        <x:v>Business Registration &amp; Compliance</x:v>
      </x:c>
      <x:c r="C46" s="21" t="str">
        <x:v>Trademark application documentation assistance</x:v>
      </x:c>
      <x:c r="D46" s="22" t="n">
        <x:v>1500</x:v>
      </x:c>
      <x:c r="E46" s="22" t="n">
        <x:v>1500</x:v>
      </x:c>
      <x:c r="F46" s="22" t="str">
        <x:v>Starting from</x:v>
      </x:c>
      <x:c r="G46" s="22" t="str">
        <x:v>Extra at actual</x:v>
      </x:c>
      <x:c r="H46" s="22" t="n">
        <x:v>150</x:v>
      </x:c>
      <x:c r="I46" s="22" t="n">
        <x:f>E46-H46</x:f>
        <x:v>1350</x:v>
      </x:c>
      <x:c r="J46" s="23" t="n">
        <x:f>IFERROR(I46/E46,0)</x:f>
        <x:v>0.9</x:v>
      </x:c>
      <x:c r="K46" s="21" t="str">
        <x:v>Yes</x:v>
      </x:c>
      <x:c r="L46" s="21" t="str">
        <x:v>Yes</x:v>
      </x:c>
      <x:c r="M46" s="21" t="str">
        <x:v>Same day / depends on portal</x:v>
      </x:c>
      <x:c r="N46" s="21" t="str">
        <x:v>Brand/logo + applicant/business details</x:v>
      </x:c>
      <x:c r="O46" s="21" t="str">
        <x:v>Government fee and professional/legal search opinion extra.</x:v>
      </x:c>
      <x:c r="P46" s="21" t="str">
        <x:v>https://ipindia.gov.in/</x:v>
      </x:c>
    </x:row>
    <x:row r="47">
      <x:c r="A47" s="21" t="n">
        <x:v>46</x:v>
      </x:c>
      <x:c r="B47" s="21" t="str">
        <x:v>Business Registration &amp; Compliance</x:v>
      </x:c>
      <x:c r="C47" s="21" t="str">
        <x:v>Trademark search report assistance</x:v>
      </x:c>
      <x:c r="D47" s="22" t="n">
        <x:v>500</x:v>
      </x:c>
      <x:c r="E47" s="22" t="n">
        <x:v>500</x:v>
      </x:c>
      <x:c r="F47" s="22" t="str">
        <x:v>Starting from</x:v>
      </x:c>
      <x:c r="G47" s="22" t="str">
        <x:v>Extra at actual</x:v>
      </x:c>
      <x:c r="H47" s="22" t="n">
        <x:v>50</x:v>
      </x:c>
      <x:c r="I47" s="22" t="n">
        <x:f>E47-H47</x:f>
        <x:v>450</x:v>
      </x:c>
      <x:c r="J47" s="23" t="n">
        <x:f>IFERROR(I47/E47,0)</x:f>
        <x:v>0.9</x:v>
      </x:c>
      <x:c r="K47" s="21" t="str">
        <x:v>Yes</x:v>
      </x:c>
      <x:c r="L47" s="21" t="str">
        <x:v>Yes</x:v>
      </x:c>
      <x:c r="M47" s="21" t="str">
        <x:v>Same day / depends on portal</x:v>
      </x:c>
      <x:c r="N47" s="21" t="str">
        <x:v>Proposed brand name/classes</x:v>
      </x:c>
      <x:c r="O47" s="21" t="str"/>
      <x:c r="P47" s="21" t="str">
        <x:v>https://ipindia.gov.in/</x:v>
      </x:c>
    </x:row>
    <x:row r="48">
      <x:c r="A48" s="21" t="n">
        <x:v>47</x:v>
      </x:c>
      <x:c r="B48" s="21" t="str">
        <x:v>Business Registration &amp; Compliance</x:v>
      </x:c>
      <x:c r="C48" s="21" t="str">
        <x:v>EPFO employer registration assistance</x:v>
      </x:c>
      <x:c r="D48" s="22" t="n">
        <x:v>1500</x:v>
      </x:c>
      <x:c r="E48" s="22" t="n">
        <x:v>1500</x:v>
      </x:c>
      <x:c r="F48" s="22" t="str">
        <x:v>Starting from</x:v>
      </x:c>
      <x:c r="G48" s="22" t="str">
        <x:v>Extra at actual</x:v>
      </x:c>
      <x:c r="H48" s="22" t="n">
        <x:v>130</x:v>
      </x:c>
      <x:c r="I48" s="22" t="n">
        <x:f>E48-H48</x:f>
        <x:v>1370</x:v>
      </x:c>
      <x:c r="J48" s="23" t="n">
        <x:f>IFERROR(I48/E48,0)</x:f>
        <x:v>0.9133333333333333</x:v>
      </x:c>
      <x:c r="K48" s="21" t="str">
        <x:v>Yes</x:v>
      </x:c>
      <x:c r="L48" s="21" t="str">
        <x:v>Yes</x:v>
      </x:c>
      <x:c r="M48" s="21" t="str">
        <x:v>Same day / depends on portal</x:v>
      </x:c>
      <x:c r="N48" s="21" t="str">
        <x:v>Establishment + employee/business documents</x:v>
      </x:c>
      <x:c r="O48" s="21" t="str"/>
      <x:c r="P48" s="21" t="str">
        <x:v>https://unifiedportal-emp.epfindia.gov.in/epfo/</x:v>
      </x:c>
    </x:row>
    <x:row r="49">
      <x:c r="A49" s="21" t="n">
        <x:v>48</x:v>
      </x:c>
      <x:c r="B49" s="21" t="str">
        <x:v>Business Registration &amp; Compliance</x:v>
      </x:c>
      <x:c r="C49" s="21" t="str">
        <x:v>ESIC employer registration assistance</x:v>
      </x:c>
      <x:c r="D49" s="22" t="n">
        <x:v>1500</x:v>
      </x:c>
      <x:c r="E49" s="22" t="n">
        <x:v>1500</x:v>
      </x:c>
      <x:c r="F49" s="22" t="str">
        <x:v>Starting from</x:v>
      </x:c>
      <x:c r="G49" s="22" t="str">
        <x:v>Extra at actual</x:v>
      </x:c>
      <x:c r="H49" s="22" t="n">
        <x:v>130</x:v>
      </x:c>
      <x:c r="I49" s="22" t="n">
        <x:f>E49-H49</x:f>
        <x:v>1370</x:v>
      </x:c>
      <x:c r="J49" s="23" t="n">
        <x:f>IFERROR(I49/E49,0)</x:f>
        <x:v>0.9133333333333333</x:v>
      </x:c>
      <x:c r="K49" s="21" t="str">
        <x:v>Yes</x:v>
      </x:c>
      <x:c r="L49" s="21" t="str">
        <x:v>Yes</x:v>
      </x:c>
      <x:c r="M49" s="21" t="str">
        <x:v>Same day / depends on portal</x:v>
      </x:c>
      <x:c r="N49" s="21" t="str">
        <x:v>Establishment + employee/business documents</x:v>
      </x:c>
      <x:c r="O49" s="21" t="str"/>
      <x:c r="P49" s="21" t="str">
        <x:v>https://www.esic.gov.in/</x:v>
      </x:c>
    </x:row>
    <x:row r="50">
      <x:c r="A50" s="21" t="n">
        <x:v>49</x:v>
      </x:c>
      <x:c r="B50" s="21" t="str">
        <x:v>Business Registration &amp; Compliance</x:v>
      </x:c>
      <x:c r="C50" s="21" t="str">
        <x:v>EPFO + ESIC registration package</x:v>
      </x:c>
      <x:c r="D50" s="22" t="n">
        <x:v>2500</x:v>
      </x:c>
      <x:c r="E50" s="22" t="n">
        <x:v>2500</x:v>
      </x:c>
      <x:c r="F50" s="22" t="str">
        <x:v>Starting from</x:v>
      </x:c>
      <x:c r="G50" s="22" t="str">
        <x:v>Extra at actual</x:v>
      </x:c>
      <x:c r="H50" s="22" t="n">
        <x:v>200</x:v>
      </x:c>
      <x:c r="I50" s="22" t="n">
        <x:f>E50-H50</x:f>
        <x:v>2300</x:v>
      </x:c>
      <x:c r="J50" s="23" t="n">
        <x:f>IFERROR(I50/E50,0)</x:f>
        <x:v>0.92</x:v>
      </x:c>
      <x:c r="K50" s="21" t="str">
        <x:v>Yes</x:v>
      </x:c>
      <x:c r="L50" s="21" t="str">
        <x:v>Yes</x:v>
      </x:c>
      <x:c r="M50" s="21" t="str">
        <x:v>Same day / depends on portal</x:v>
      </x:c>
      <x:c r="N50" s="21" t="str">
        <x:v>Establishment + employee/business documents</x:v>
      </x:c>
      <x:c r="O50" s="21" t="str"/>
      <x:c r="P50" s="21" t="str">
        <x:v>https://unifiedportal-emp.epfindia.gov.in/epfo/</x:v>
      </x:c>
    </x:row>
    <x:row r="51">
      <x:c r="A51" s="21" t="n">
        <x:v>50</x:v>
      </x:c>
      <x:c r="B51" s="21" t="str">
        <x:v>Business Registration &amp; Compliance</x:v>
      </x:c>
      <x:c r="C51" s="21" t="str">
        <x:v>Digital Signature Certificate coordination</x:v>
      </x:c>
      <x:c r="D51" s="22" t="n">
        <x:v>800</x:v>
      </x:c>
      <x:c r="E51" s="22" t="n">
        <x:v>800</x:v>
      </x:c>
      <x:c r="F51" s="22" t="str">
        <x:v>Starting from</x:v>
      </x:c>
      <x:c r="G51" s="22" t="str">
        <x:v>Extra at actual</x:v>
      </x:c>
      <x:c r="H51" s="22" t="n">
        <x:v>80</x:v>
      </x:c>
      <x:c r="I51" s="22" t="n">
        <x:f>E51-H51</x:f>
        <x:v>720</x:v>
      </x:c>
      <x:c r="J51" s="23" t="n">
        <x:f>IFERROR(I51/E51,0)</x:f>
        <x:v>0.9</x:v>
      </x:c>
      <x:c r="K51" s="21" t="str">
        <x:v>Yes</x:v>
      </x:c>
      <x:c r="L51" s="21" t="str">
        <x:v>Yes</x:v>
      </x:c>
      <x:c r="M51" s="21" t="str">
        <x:v>Same day / depends on portal</x:v>
      </x:c>
      <x:c r="N51" s="21" t="str">
        <x:v>KYC + email/mobile</x:v>
      </x:c>
      <x:c r="O51" s="21" t="str">
        <x:v>DSC provider fee extra.</x:v>
      </x:c>
      <x:c r="P51" s="21" t="str"/>
    </x:row>
    <x:row r="52">
      <x:c r="A52" s="21" t="n">
        <x:v>51</x:v>
      </x:c>
      <x:c r="B52" s="21" t="str">
        <x:v>Business Registration &amp; Compliance</x:v>
      </x:c>
      <x:c r="C52" s="21" t="str">
        <x:v>Business bank-current-account documentation support</x:v>
      </x:c>
      <x:c r="D52" s="22" t="n">
        <x:v>500</x:v>
      </x:c>
      <x:c r="E52" s="22" t="n">
        <x:v>500</x:v>
      </x:c>
      <x:c r="F52" s="22" t="str">
        <x:v>Starting from</x:v>
      </x:c>
      <x:c r="G52" s="22" t="str">
        <x:v>Extra at actual</x:v>
      </x:c>
      <x:c r="H52" s="22" t="n">
        <x:v>40</x:v>
      </x:c>
      <x:c r="I52" s="22" t="n">
        <x:f>E52-H52</x:f>
        <x:v>460</x:v>
      </x:c>
      <x:c r="J52" s="23" t="n">
        <x:f>IFERROR(I52/E52,0)</x:f>
        <x:v>0.92</x:v>
      </x:c>
      <x:c r="K52" s="21" t="str">
        <x:v>Yes</x:v>
      </x:c>
      <x:c r="L52" s="21" t="str">
        <x:v>Yes</x:v>
      </x:c>
      <x:c r="M52" s="21" t="str">
        <x:v>Same day / depends on portal</x:v>
      </x:c>
      <x:c r="N52" s="21" t="str">
        <x:v>Business KYC + registration documents</x:v>
      </x:c>
      <x:c r="O52" s="21" t="str">
        <x:v>Bank approval/requirements vary.</x:v>
      </x:c>
      <x:c r="P52" s="21" t="str"/>
    </x:row>
    <x:row r="53">
      <x:c r="A53" s="21" t="n">
        <x:v>52</x:v>
      </x:c>
      <x:c r="B53" s="21" t="str">
        <x:v>Business Registration &amp; Compliance</x:v>
      </x:c>
      <x:c r="C53" s="21" t="str">
        <x:v>Basic compliance document checklist consultation</x:v>
      </x:c>
      <x:c r="D53" s="22" t="n">
        <x:v>500</x:v>
      </x:c>
      <x:c r="E53" s="22" t="n">
        <x:v>500</x:v>
      </x:c>
      <x:c r="F53" s="22" t="str">
        <x:v>Fixed</x:v>
      </x:c>
      <x:c r="G53" s="22" t="str">
        <x:v>Extra at actual</x:v>
      </x:c>
      <x:c r="H53" s="22" t="n">
        <x:v>50</x:v>
      </x:c>
      <x:c r="I53" s="22" t="n">
        <x:f>E53-H53</x:f>
        <x:v>450</x:v>
      </x:c>
      <x:c r="J53" s="23" t="n">
        <x:f>IFERROR(I53/E53,0)</x:f>
        <x:v>0.9</x:v>
      </x:c>
      <x:c r="K53" s="21" t="str">
        <x:v>Yes</x:v>
      </x:c>
      <x:c r="L53" s="21" t="str">
        <x:v>Yes</x:v>
      </x:c>
      <x:c r="M53" s="21" t="str">
        <x:v>Same day / depends on portal</x:v>
      </x:c>
      <x:c r="N53" s="21" t="str">
        <x:v>Business type + activity + location</x:v>
      </x:c>
      <x:c r="O53" s="21" t="str">
        <x:v>Not a CA/CS/legal opinion.</x:v>
      </x:c>
      <x:c r="P53" s="21" t="str"/>
    </x:row>
    <x:row r="54">
      <x:c r="A54" s="21" t="n">
        <x:v>53</x:v>
      </x:c>
      <x:c r="B54" s="21" t="str">
        <x:v>Business Registration &amp; Compliance</x:v>
      </x:c>
      <x:c r="C54" s="21" t="str">
        <x:v>Company profile + registration document folder setup</x:v>
      </x:c>
      <x:c r="D54" s="22" t="n">
        <x:v>1800</x:v>
      </x:c>
      <x:c r="E54" s="22" t="n">
        <x:v>1800</x:v>
      </x:c>
      <x:c r="F54" s="22" t="str">
        <x:v>Starting from</x:v>
      </x:c>
      <x:c r="G54" s="22" t="str">
        <x:v>Extra at actual</x:v>
      </x:c>
      <x:c r="H54" s="22" t="n">
        <x:v>120</x:v>
      </x:c>
      <x:c r="I54" s="22" t="n">
        <x:f>E54-H54</x:f>
        <x:v>1680</x:v>
      </x:c>
      <x:c r="J54" s="23" t="n">
        <x:f>IFERROR(I54/E54,0)</x:f>
        <x:v>0.9333333333333333</x:v>
      </x:c>
      <x:c r="K54" s="21" t="str">
        <x:v>Yes</x:v>
      </x:c>
      <x:c r="L54" s="21" t="str">
        <x:v>No</x:v>
      </x:c>
      <x:c r="M54" s="21" t="str">
        <x:v>Same day / depends on portal</x:v>
      </x:c>
      <x:c r="N54" s="21" t="str">
        <x:v>Business details + logos + documents</x:v>
      </x:c>
      <x:c r="O54" s="21" t="str"/>
      <x:c r="P54" s="21" t="str"/>
    </x:row>
    <x:row r="55">
      <x:c r="A55" s="21" t="n">
        <x:v>54</x:v>
      </x:c>
      <x:c r="B55" s="21" t="str">
        <x:v>Business Registration &amp; Compliance</x:v>
      </x:c>
      <x:c r="C55" s="21" t="str">
        <x:v>Business quotation/invoice template setup</x:v>
      </x:c>
      <x:c r="D55" s="22" t="n">
        <x:v>500</x:v>
      </x:c>
      <x:c r="E55" s="22" t="n">
        <x:v>500</x:v>
      </x:c>
      <x:c r="F55" s="22" t="str">
        <x:v>Fixed</x:v>
      </x:c>
      <x:c r="G55" s="22" t="str">
        <x:v>Extra at actual</x:v>
      </x:c>
      <x:c r="H55" s="22" t="n">
        <x:v>30</x:v>
      </x:c>
      <x:c r="I55" s="22" t="n">
        <x:f>E55-H55</x:f>
        <x:v>470</x:v>
      </x:c>
      <x:c r="J55" s="23" t="n">
        <x:f>IFERROR(I55/E55,0)</x:f>
        <x:v>0.94</x:v>
      </x:c>
      <x:c r="K55" s="21" t="str">
        <x:v>Yes</x:v>
      </x:c>
      <x:c r="L55" s="21" t="str">
        <x:v>No</x:v>
      </x:c>
      <x:c r="M55" s="21" t="str">
        <x:v>Same day / depends on portal</x:v>
      </x:c>
      <x:c r="N55" s="21" t="str">
        <x:v>Business name + GST/bank/payment details</x:v>
      </x:c>
      <x:c r="O55" s="21" t="str"/>
      <x:c r="P55" s="21" t="str"/>
    </x:row>
    <x:row r="56">
      <x:c r="A56" s="21" t="n">
        <x:v>55</x:v>
      </x:c>
      <x:c r="B56" s="21" t="str">
        <x:v>Pharmacy &amp; Healthcare</x:v>
      </x:c>
      <x:c r="C56" s="21" t="str">
        <x:v>Retail drug licence application documentation assistance</x:v>
      </x:c>
      <x:c r="D56" s="22" t="n">
        <x:v>2000</x:v>
      </x:c>
      <x:c r="E56" s="22" t="n">
        <x:v>2000</x:v>
      </x:c>
      <x:c r="F56" s="22" t="str">
        <x:v>Starting from</x:v>
      </x:c>
      <x:c r="G56" s="22" t="str">
        <x:v>Extra at actual</x:v>
      </x:c>
      <x:c r="H56" s="22" t="n">
        <x:v>200</x:v>
      </x:c>
      <x:c r="I56" s="22" t="n">
        <x:f>E56-H56</x:f>
        <x:v>1800</x:v>
      </x:c>
      <x:c r="J56" s="23" t="n">
        <x:f>IFERROR(I56/E56,0)</x:f>
        <x:v>0.9</x:v>
      </x:c>
      <x:c r="K56" s="21" t="str">
        <x:v>Yes</x:v>
      </x:c>
      <x:c r="L56" s="21" t="str">
        <x:v>Yes</x:v>
      </x:c>
      <x:c r="M56" s="21" t="str">
        <x:v>Same day / depends on portal</x:v>
      </x:c>
      <x:c r="N56" s="21" t="str">
        <x:v>Premises, constitution, pharmacist and ownership documents</x:v>
      </x:c>
      <x:c r="O56" s="21" t="str">
        <x:v>Licence issued by authority; eligibility/inspection requirements apply.</x:v>
      </x:c>
      <x:c r="P56" s="21" t="str">
        <x:v>https://fda.maharashtra.gov.in/</x:v>
      </x:c>
    </x:row>
    <x:row r="57">
      <x:c r="A57" s="21" t="n">
        <x:v>56</x:v>
      </x:c>
      <x:c r="B57" s="21" t="str">
        <x:v>Pharmacy &amp; Healthcare</x:v>
      </x:c>
      <x:c r="C57" s="21" t="str">
        <x:v>Wholesale drug licence application documentation assistance</x:v>
      </x:c>
      <x:c r="D57" s="22" t="n">
        <x:v>2500</x:v>
      </x:c>
      <x:c r="E57" s="22" t="n">
        <x:v>2500</x:v>
      </x:c>
      <x:c r="F57" s="22" t="str">
        <x:v>Starting from</x:v>
      </x:c>
      <x:c r="G57" s="22" t="str">
        <x:v>Extra at actual</x:v>
      </x:c>
      <x:c r="H57" s="22" t="n">
        <x:v>250</x:v>
      </x:c>
      <x:c r="I57" s="22" t="n">
        <x:f>E57-H57</x:f>
        <x:v>2250</x:v>
      </x:c>
      <x:c r="J57" s="23" t="n">
        <x:f>IFERROR(I57/E57,0)</x:f>
        <x:v>0.9</x:v>
      </x:c>
      <x:c r="K57" s="21" t="str">
        <x:v>Yes</x:v>
      </x:c>
      <x:c r="L57" s="21" t="str">
        <x:v>Yes</x:v>
      </x:c>
      <x:c r="M57" s="21" t="str">
        <x:v>Same day / depends on portal</x:v>
      </x:c>
      <x:c r="N57" s="21" t="str">
        <x:v>Premises, constitution, competent person and ownership documents</x:v>
      </x:c>
      <x:c r="O57" s="21" t="str"/>
      <x:c r="P57" s="21" t="str">
        <x:v>https://fda.maharashtra.gov.in/</x:v>
      </x:c>
    </x:row>
    <x:row r="58">
      <x:c r="A58" s="21" t="n">
        <x:v>57</x:v>
      </x:c>
      <x:c r="B58" s="21" t="str">
        <x:v>Pharmacy &amp; Healthcare</x:v>
      </x:c>
      <x:c r="C58" s="21" t="str">
        <x:v>Retail + wholesale drug licence documentation package</x:v>
      </x:c>
      <x:c r="D58" s="22" t="n">
        <x:v>3500</x:v>
      </x:c>
      <x:c r="E58" s="22" t="n">
        <x:v>3500</x:v>
      </x:c>
      <x:c r="F58" s="22" t="str">
        <x:v>Starting from</x:v>
      </x:c>
      <x:c r="G58" s="22" t="str">
        <x:v>Extra at actual</x:v>
      </x:c>
      <x:c r="H58" s="22" t="n">
        <x:v>350</x:v>
      </x:c>
      <x:c r="I58" s="22" t="n">
        <x:f>E58-H58</x:f>
        <x:v>3150</x:v>
      </x:c>
      <x:c r="J58" s="23" t="n">
        <x:f>IFERROR(I58/E58,0)</x:f>
        <x:v>0.9</x:v>
      </x:c>
      <x:c r="K58" s="21" t="str">
        <x:v>Yes</x:v>
      </x:c>
      <x:c r="L58" s="21" t="str">
        <x:v>Yes</x:v>
      </x:c>
      <x:c r="M58" s="21" t="str">
        <x:v>Same day / depends on portal</x:v>
      </x:c>
      <x:c r="N58" s="21" t="str">
        <x:v>Combined licence documentation</x:v>
      </x:c>
      <x:c r="O58" s="21" t="str"/>
      <x:c r="P58" s="21" t="str">
        <x:v>https://fda.maharashtra.gov.in/</x:v>
      </x:c>
    </x:row>
    <x:row r="59">
      <x:c r="A59" s="21" t="n">
        <x:v>58</x:v>
      </x:c>
      <x:c r="B59" s="21" t="str">
        <x:v>Pharmacy &amp; Healthcare</x:v>
      </x:c>
      <x:c r="C59" s="21" t="str">
        <x:v>Drug licence amendment assistance</x:v>
      </x:c>
      <x:c r="D59" s="22" t="n">
        <x:v>1000</x:v>
      </x:c>
      <x:c r="E59" s="22" t="n">
        <x:v>1000</x:v>
      </x:c>
      <x:c r="F59" s="22" t="str">
        <x:v>Starting from</x:v>
      </x:c>
      <x:c r="G59" s="22" t="str">
        <x:v>Extra at actual</x:v>
      </x:c>
      <x:c r="H59" s="22" t="n">
        <x:v>100</x:v>
      </x:c>
      <x:c r="I59" s="22" t="n">
        <x:f>E59-H59</x:f>
        <x:v>900</x:v>
      </x:c>
      <x:c r="J59" s="23" t="n">
        <x:f>IFERROR(I59/E59,0)</x:f>
        <x:v>0.9</x:v>
      </x:c>
      <x:c r="K59" s="21" t="str">
        <x:v>Yes</x:v>
      </x:c>
      <x:c r="L59" s="21" t="str">
        <x:v>Yes</x:v>
      </x:c>
      <x:c r="M59" s="21" t="str">
        <x:v>Same day / depends on portal</x:v>
      </x:c>
      <x:c r="N59" s="21" t="str">
        <x:v>Existing licence + change proof</x:v>
      </x:c>
      <x:c r="O59" s="21" t="str"/>
      <x:c r="P59" s="21" t="str">
        <x:v>https://fda.maharashtra.gov.in/</x:v>
      </x:c>
    </x:row>
    <x:row r="60">
      <x:c r="A60" s="21" t="n">
        <x:v>59</x:v>
      </x:c>
      <x:c r="B60" s="21" t="str">
        <x:v>Pharmacy &amp; Healthcare</x:v>
      </x:c>
      <x:c r="C60" s="21" t="str">
        <x:v>Drug licence renewal / retention assistance</x:v>
      </x:c>
      <x:c r="D60" s="22" t="n">
        <x:v>1000</x:v>
      </x:c>
      <x:c r="E60" s="22" t="n">
        <x:v>1000</x:v>
      </x:c>
      <x:c r="F60" s="22" t="str">
        <x:v>Starting from</x:v>
      </x:c>
      <x:c r="G60" s="22" t="str">
        <x:v>Extra at actual</x:v>
      </x:c>
      <x:c r="H60" s="22" t="n">
        <x:v>90</x:v>
      </x:c>
      <x:c r="I60" s="22" t="n">
        <x:f>E60-H60</x:f>
        <x:v>910</x:v>
      </x:c>
      <x:c r="J60" s="23" t="n">
        <x:f>IFERROR(I60/E60,0)</x:f>
        <x:v>0.91</x:v>
      </x:c>
      <x:c r="K60" s="21" t="str">
        <x:v>Yes</x:v>
      </x:c>
      <x:c r="L60" s="21" t="str">
        <x:v>Yes</x:v>
      </x:c>
      <x:c r="M60" s="21" t="str">
        <x:v>Same day / depends on portal</x:v>
      </x:c>
      <x:c r="N60" s="21" t="str">
        <x:v>Existing licence + required compliance documents</x:v>
      </x:c>
      <x:c r="O60" s="21" t="str"/>
      <x:c r="P60" s="21" t="str">
        <x:v>https://fda.maharashtra.gov.in/</x:v>
      </x:c>
    </x:row>
    <x:row r="61">
      <x:c r="A61" s="21" t="n">
        <x:v>60</x:v>
      </x:c>
      <x:c r="B61" s="21" t="str">
        <x:v>Pharmacy &amp; Healthcare</x:v>
      </x:c>
      <x:c r="C61" s="21" t="str">
        <x:v>Change of pharmacist documentation assistance</x:v>
      </x:c>
      <x:c r="D61" s="22" t="n">
        <x:v>800</x:v>
      </x:c>
      <x:c r="E61" s="22" t="n">
        <x:v>800</x:v>
      </x:c>
      <x:c r="F61" s="22" t="str">
        <x:v>Starting from</x:v>
      </x:c>
      <x:c r="G61" s="22" t="str">
        <x:v>Extra at actual</x:v>
      </x:c>
      <x:c r="H61" s="22" t="n">
        <x:v>80</x:v>
      </x:c>
      <x:c r="I61" s="22" t="n">
        <x:f>E61-H61</x:f>
        <x:v>720</x:v>
      </x:c>
      <x:c r="J61" s="23" t="n">
        <x:f>IFERROR(I61/E61,0)</x:f>
        <x:v>0.9</x:v>
      </x:c>
      <x:c r="K61" s="21" t="str">
        <x:v>Yes</x:v>
      </x:c>
      <x:c r="L61" s="21" t="str">
        <x:v>Yes</x:v>
      </x:c>
      <x:c r="M61" s="21" t="str">
        <x:v>Same day / depends on portal</x:v>
      </x:c>
      <x:c r="N61" s="21" t="str">
        <x:v>Licence + pharmacist registration/appointment documents</x:v>
      </x:c>
      <x:c r="O61" s="21" t="str"/>
      <x:c r="P61" s="21" t="str">
        <x:v>https://fda.maharashtra.gov.in/</x:v>
      </x:c>
    </x:row>
    <x:row r="62">
      <x:c r="A62" s="21" t="n">
        <x:v>61</x:v>
      </x:c>
      <x:c r="B62" s="21" t="str">
        <x:v>Pharmacy &amp; Healthcare</x:v>
      </x:c>
      <x:c r="C62" s="21" t="str">
        <x:v>Change of premises / address documentation assistance</x:v>
      </x:c>
      <x:c r="D62" s="22" t="n">
        <x:v>1500</x:v>
      </x:c>
      <x:c r="E62" s="22" t="n">
        <x:v>1500</x:v>
      </x:c>
      <x:c r="F62" s="22" t="str">
        <x:v>Starting from</x:v>
      </x:c>
      <x:c r="G62" s="22" t="str">
        <x:v>Extra at actual</x:v>
      </x:c>
      <x:c r="H62" s="22" t="n">
        <x:v>150</x:v>
      </x:c>
      <x:c r="I62" s="22" t="n">
        <x:f>E62-H62</x:f>
        <x:v>1350</x:v>
      </x:c>
      <x:c r="J62" s="23" t="n">
        <x:f>IFERROR(I62/E62,0)</x:f>
        <x:v>0.9</x:v>
      </x:c>
      <x:c r="K62" s="21" t="str">
        <x:v>Yes</x:v>
      </x:c>
      <x:c r="L62" s="21" t="str">
        <x:v>Yes</x:v>
      </x:c>
      <x:c r="M62" s="21" t="str">
        <x:v>Same day / depends on portal</x:v>
      </x:c>
      <x:c r="N62" s="21" t="str">
        <x:v>Existing licence + new premises documents</x:v>
      </x:c>
      <x:c r="O62" s="21" t="str"/>
      <x:c r="P62" s="21" t="str">
        <x:v>https://fda.maharashtra.gov.in/</x:v>
      </x:c>
    </x:row>
    <x:row r="63">
      <x:c r="A63" s="21" t="n">
        <x:v>62</x:v>
      </x:c>
      <x:c r="B63" s="21" t="str">
        <x:v>Pharmacy &amp; Healthcare</x:v>
      </x:c>
      <x:c r="C63" s="21" t="str">
        <x:v>Duplicate drug licence documentation assistance</x:v>
      </x:c>
      <x:c r="D63" s="22" t="n">
        <x:v>500</x:v>
      </x:c>
      <x:c r="E63" s="22" t="n">
        <x:v>500</x:v>
      </x:c>
      <x:c r="F63" s="22" t="str">
        <x:v>Starting from</x:v>
      </x:c>
      <x:c r="G63" s="22" t="str">
        <x:v>Extra at actual</x:v>
      </x:c>
      <x:c r="H63" s="22" t="n">
        <x:v>50</x:v>
      </x:c>
      <x:c r="I63" s="22" t="n">
        <x:f>E63-H63</x:f>
        <x:v>450</x:v>
      </x:c>
      <x:c r="J63" s="23" t="n">
        <x:f>IFERROR(I63/E63,0)</x:f>
        <x:v>0.9</x:v>
      </x:c>
      <x:c r="K63" s="21" t="str">
        <x:v>Yes</x:v>
      </x:c>
      <x:c r="L63" s="21" t="str">
        <x:v>Yes</x:v>
      </x:c>
      <x:c r="M63" s="21" t="str">
        <x:v>Same day / depends on portal</x:v>
      </x:c>
      <x:c r="N63" s="21" t="str">
        <x:v>Licence details + loss/damage declaration as applicable</x:v>
      </x:c>
      <x:c r="O63" s="21" t="str"/>
      <x:c r="P63" s="21" t="str">
        <x:v>https://fda.maharashtra.gov.in/</x:v>
      </x:c>
    </x:row>
    <x:row r="64">
      <x:c r="A64" s="21" t="n">
        <x:v>63</x:v>
      </x:c>
      <x:c r="B64" s="21" t="str">
        <x:v>Pharmacy &amp; Healthcare</x:v>
      </x:c>
      <x:c r="C64" s="21" t="str">
        <x:v>Pharmacist new registration application assistance</x:v>
      </x:c>
      <x:c r="D64" s="22" t="n">
        <x:v>700</x:v>
      </x:c>
      <x:c r="E64" s="22" t="n">
        <x:v>700</x:v>
      </x:c>
      <x:c r="F64" s="22" t="str">
        <x:v>Starting from</x:v>
      </x:c>
      <x:c r="G64" s="22" t="str">
        <x:v>Extra at actual</x:v>
      </x:c>
      <x:c r="H64" s="22" t="n">
        <x:v>60</x:v>
      </x:c>
      <x:c r="I64" s="22" t="n">
        <x:f>E64-H64</x:f>
        <x:v>640</x:v>
      </x:c>
      <x:c r="J64" s="23" t="n">
        <x:f>IFERROR(I64/E64,0)</x:f>
        <x:v>0.9142857142857143</x:v>
      </x:c>
      <x:c r="K64" s="21" t="str">
        <x:v>Yes</x:v>
      </x:c>
      <x:c r="L64" s="21" t="str">
        <x:v>Yes</x:v>
      </x:c>
      <x:c r="M64" s="21" t="str">
        <x:v>Same day / depends on portal</x:v>
      </x:c>
      <x:c r="N64" s="21" t="str">
        <x:v>Qualification + identity documents</x:v>
      </x:c>
      <x:c r="O64" s="21" t="str"/>
      <x:c r="P64" s="21" t="str">
        <x:v>https://online.mspcindia.org/</x:v>
      </x:c>
    </x:row>
    <x:row r="65">
      <x:c r="A65" s="21" t="n">
        <x:v>64</x:v>
      </x:c>
      <x:c r="B65" s="21" t="str">
        <x:v>Pharmacy &amp; Healthcare</x:v>
      </x:c>
      <x:c r="C65" s="21" t="str">
        <x:v>Pharmacist profile / registration portal assistance</x:v>
      </x:c>
      <x:c r="D65" s="22" t="n">
        <x:v>400</x:v>
      </x:c>
      <x:c r="E65" s="22" t="n">
        <x:v>400</x:v>
      </x:c>
      <x:c r="F65" s="22" t="str">
        <x:v>Starting from</x:v>
      </x:c>
      <x:c r="G65" s="22" t="str">
        <x:v>Extra at actual</x:v>
      </x:c>
      <x:c r="H65" s="22" t="n">
        <x:v>40</x:v>
      </x:c>
      <x:c r="I65" s="22" t="n">
        <x:f>E65-H65</x:f>
        <x:v>360</x:v>
      </x:c>
      <x:c r="J65" s="23" t="n">
        <x:f>IFERROR(I65/E65,0)</x:f>
        <x:v>0.9</x:v>
      </x:c>
      <x:c r="K65" s="21" t="str">
        <x:v>Yes</x:v>
      </x:c>
      <x:c r="L65" s="21" t="str">
        <x:v>Yes</x:v>
      </x:c>
      <x:c r="M65" s="21" t="str">
        <x:v>Same day / depends on portal</x:v>
      </x:c>
      <x:c r="N65" s="21" t="str">
        <x:v>MSPC registration + requested update details</x:v>
      </x:c>
      <x:c r="O65" s="21" t="str"/>
      <x:c r="P65" s="21" t="str">
        <x:v>https://online.mspcindia.org/</x:v>
      </x:c>
    </x:row>
    <x:row r="66">
      <x:c r="A66" s="21" t="n">
        <x:v>65</x:v>
      </x:c>
      <x:c r="B66" s="21" t="str">
        <x:v>Pharmacy &amp; Healthcare</x:v>
      </x:c>
      <x:c r="C66" s="21" t="str">
        <x:v>Clinic / diagnostic centre documentation consultation</x:v>
      </x:c>
      <x:c r="D66" s="22" t="n">
        <x:v>1200</x:v>
      </x:c>
      <x:c r="E66" s="22" t="n">
        <x:v>1200</x:v>
      </x:c>
      <x:c r="F66" s="22" t="str">
        <x:v>Starting from</x:v>
      </x:c>
      <x:c r="G66" s="22" t="str">
        <x:v>Extra at actual</x:v>
      </x:c>
      <x:c r="H66" s="22" t="n">
        <x:v>120</x:v>
      </x:c>
      <x:c r="I66" s="22" t="n">
        <x:f>E66-H66</x:f>
        <x:v>1080</x:v>
      </x:c>
      <x:c r="J66" s="23" t="n">
        <x:f>IFERROR(I66/E66,0)</x:f>
        <x:v>0.9</x:v>
      </x:c>
      <x:c r="K66" s="21" t="str">
        <x:v>Yes</x:v>
      </x:c>
      <x:c r="L66" s="21" t="str">
        <x:v>Yes</x:v>
      </x:c>
      <x:c r="M66" s="21" t="str">
        <x:v>Same day / depends on portal</x:v>
      </x:c>
      <x:c r="N66" s="21" t="str">
        <x:v>Business type, premises, professional registrations</x:v>
      </x:c>
      <x:c r="O66" s="21" t="str">
        <x:v>Final registrations vary by establishment and activity.</x:v>
      </x:c>
      <x:c r="P66" s="21" t="str"/>
    </x:row>
    <x:row r="67">
      <x:c r="A67" s="21" t="n">
        <x:v>66</x:v>
      </x:c>
      <x:c r="B67" s="21" t="str">
        <x:v>Pharmacy &amp; Healthcare</x:v>
      </x:c>
      <x:c r="C67" s="21" t="str">
        <x:v>Biomedical-waste authorization documentation assistance</x:v>
      </x:c>
      <x:c r="D67" s="22" t="n">
        <x:v>1500</x:v>
      </x:c>
      <x:c r="E67" s="22" t="n">
        <x:v>1500</x:v>
      </x:c>
      <x:c r="F67" s="22" t="str">
        <x:v>Starting from</x:v>
      </x:c>
      <x:c r="G67" s="22" t="str">
        <x:v>Extra at actual</x:v>
      </x:c>
      <x:c r="H67" s="22" t="n">
        <x:v>150</x:v>
      </x:c>
      <x:c r="I67" s="22" t="n">
        <x:f>E67-H67</x:f>
        <x:v>1350</x:v>
      </x:c>
      <x:c r="J67" s="23" t="n">
        <x:f>IFERROR(I67/E67,0)</x:f>
        <x:v>0.9</x:v>
      </x:c>
      <x:c r="K67" s="21" t="str">
        <x:v>Yes</x:v>
      </x:c>
      <x:c r="L67" s="21" t="str">
        <x:v>Yes</x:v>
      </x:c>
      <x:c r="M67" s="21" t="str">
        <x:v>Same day / depends on portal</x:v>
      </x:c>
      <x:c r="N67" s="21" t="str">
        <x:v>Healthcare establishment + waste details</x:v>
      </x:c>
      <x:c r="O67" s="21" t="str"/>
      <x:c r="P67" s="21" t="str">
        <x:v>https://www.mpcb.gov.in/</x:v>
      </x:c>
    </x:row>
    <x:row r="68">
      <x:c r="A68" s="21" t="n">
        <x:v>67</x:v>
      </x:c>
      <x:c r="B68" s="21" t="str">
        <x:v>Pharmacy &amp; Healthcare</x:v>
      </x:c>
      <x:c r="C68" s="21" t="str">
        <x:v>Medical store complete business-document folder setup</x:v>
      </x:c>
      <x:c r="D68" s="22" t="n">
        <x:v>1000</x:v>
      </x:c>
      <x:c r="E68" s="22" t="n">
        <x:v>1000</x:v>
      </x:c>
      <x:c r="F68" s="22" t="str">
        <x:v>Starting from</x:v>
      </x:c>
      <x:c r="G68" s="22" t="str">
        <x:v>Extra at actual</x:v>
      </x:c>
      <x:c r="H68" s="22" t="n">
        <x:v>80</x:v>
      </x:c>
      <x:c r="I68" s="22" t="n">
        <x:f>E68-H68</x:f>
        <x:v>920</x:v>
      </x:c>
      <x:c r="J68" s="23" t="n">
        <x:f>IFERROR(I68/E68,0)</x:f>
        <x:v>0.92</x:v>
      </x:c>
      <x:c r="K68" s="21" t="str">
        <x:v>Yes</x:v>
      </x:c>
      <x:c r="L68" s="21" t="str">
        <x:v>No</x:v>
      </x:c>
      <x:c r="M68" s="21" t="str">
        <x:v>Same day / depends on portal</x:v>
      </x:c>
      <x:c r="N68" s="21" t="str">
        <x:v>Licence/GST/Gumasta/Udyam/business documents</x:v>
      </x:c>
      <x:c r="O68" s="21" t="str"/>
      <x:c r="P68" s="21" t="str"/>
    </x:row>
    <x:row r="69">
      <x:c r="A69" s="21" t="n">
        <x:v>68</x:v>
      </x:c>
      <x:c r="B69" s="21" t="str">
        <x:v>Food, Restaurant &amp; Hospitality</x:v>
      </x:c>
      <x:c r="C69" s="21" t="str">
        <x:v>FSSAI Basic Registration assistance</x:v>
      </x:c>
      <x:c r="D69" s="22" t="n">
        <x:v>800</x:v>
      </x:c>
      <x:c r="E69" s="22" t="n">
        <x:v>800</x:v>
      </x:c>
      <x:c r="F69" s="22" t="str">
        <x:v>Starting from</x:v>
      </x:c>
      <x:c r="G69" s="22" t="str">
        <x:v>Extra at actual</x:v>
      </x:c>
      <x:c r="H69" s="22" t="n">
        <x:v>60</x:v>
      </x:c>
      <x:c r="I69" s="22" t="n">
        <x:f>E69-H69</x:f>
        <x:v>740</x:v>
      </x:c>
      <x:c r="J69" s="23" t="n">
        <x:f>IFERROR(I69/E69,0)</x:f>
        <x:v>0.925</x:v>
      </x:c>
      <x:c r="K69" s="21" t="str">
        <x:v>Yes</x:v>
      </x:c>
      <x:c r="L69" s="21" t="str">
        <x:v>Yes</x:v>
      </x:c>
      <x:c r="M69" s="21" t="str">
        <x:v>Same day / depends on portal</x:v>
      </x:c>
      <x:c r="N69" s="21" t="str">
        <x:v>Food business details + KYC/address proof</x:v>
      </x:c>
      <x:c r="O69" s="21" t="str">
        <x:v>FoSCoS government fee extra.</x:v>
      </x:c>
      <x:c r="P69" s="21" t="str">
        <x:v>https://foscos.fssai.gov.in/</x:v>
      </x:c>
    </x:row>
    <x:row r="70">
      <x:c r="A70" s="21" t="n">
        <x:v>69</x:v>
      </x:c>
      <x:c r="B70" s="21" t="str">
        <x:v>Food, Restaurant &amp; Hospitality</x:v>
      </x:c>
      <x:c r="C70" s="21" t="str">
        <x:v>FSSAI State Licence assistance</x:v>
      </x:c>
      <x:c r="D70" s="22" t="n">
        <x:v>1500</x:v>
      </x:c>
      <x:c r="E70" s="22" t="n">
        <x:v>1500</x:v>
      </x:c>
      <x:c r="F70" s="22" t="str">
        <x:v>Starting from</x:v>
      </x:c>
      <x:c r="G70" s="22" t="str">
        <x:v>Extra at actual</x:v>
      </x:c>
      <x:c r="H70" s="22" t="n">
        <x:v>120</x:v>
      </x:c>
      <x:c r="I70" s="22" t="n">
        <x:f>E70-H70</x:f>
        <x:v>1380</x:v>
      </x:c>
      <x:c r="J70" s="23" t="n">
        <x:f>IFERROR(I70/E70,0)</x:f>
        <x:v>0.92</x:v>
      </x:c>
      <x:c r="K70" s="21" t="str">
        <x:v>Yes</x:v>
      </x:c>
      <x:c r="L70" s="21" t="str">
        <x:v>Yes</x:v>
      </x:c>
      <x:c r="M70" s="21" t="str">
        <x:v>Same day / depends on portal</x:v>
      </x:c>
      <x:c r="N70" s="21" t="str">
        <x:v>Business/category-specific documents</x:v>
      </x:c>
      <x:c r="O70" s="21" t="str"/>
      <x:c r="P70" s="21" t="str">
        <x:v>https://foscos.fssai.gov.in/</x:v>
      </x:c>
    </x:row>
    <x:row r="71">
      <x:c r="A71" s="21" t="n">
        <x:v>70</x:v>
      </x:c>
      <x:c r="B71" s="21" t="str">
        <x:v>Food, Restaurant &amp; Hospitality</x:v>
      </x:c>
      <x:c r="C71" s="21" t="str">
        <x:v>FSSAI Central Licence assistance</x:v>
      </x:c>
      <x:c r="D71" s="22" t="n">
        <x:v>2500</x:v>
      </x:c>
      <x:c r="E71" s="22" t="n">
        <x:v>2500</x:v>
      </x:c>
      <x:c r="F71" s="22" t="str">
        <x:v>Starting from</x:v>
      </x:c>
      <x:c r="G71" s="22" t="str">
        <x:v>Extra at actual</x:v>
      </x:c>
      <x:c r="H71" s="22" t="n">
        <x:v>200</x:v>
      </x:c>
      <x:c r="I71" s="22" t="n">
        <x:f>E71-H71</x:f>
        <x:v>2300</x:v>
      </x:c>
      <x:c r="J71" s="23" t="n">
        <x:f>IFERROR(I71/E71,0)</x:f>
        <x:v>0.92</x:v>
      </x:c>
      <x:c r="K71" s="21" t="str">
        <x:v>Yes</x:v>
      </x:c>
      <x:c r="L71" s="21" t="str">
        <x:v>Yes</x:v>
      </x:c>
      <x:c r="M71" s="21" t="str">
        <x:v>Same day / depends on portal</x:v>
      </x:c>
      <x:c r="N71" s="21" t="str">
        <x:v>Business/category-specific documents</x:v>
      </x:c>
      <x:c r="O71" s="21" t="str"/>
      <x:c r="P71" s="21" t="str">
        <x:v>https://foscos.fssai.gov.in/</x:v>
      </x:c>
    </x:row>
    <x:row r="72">
      <x:c r="A72" s="21" t="n">
        <x:v>71</x:v>
      </x:c>
      <x:c r="B72" s="21" t="str">
        <x:v>Food, Restaurant &amp; Hospitality</x:v>
      </x:c>
      <x:c r="C72" s="21" t="str">
        <x:v>FSSAI renewal assistance</x:v>
      </x:c>
      <x:c r="D72" s="22" t="n">
        <x:v>700</x:v>
      </x:c>
      <x:c r="E72" s="22" t="n">
        <x:v>700</x:v>
      </x:c>
      <x:c r="F72" s="22" t="str">
        <x:v>Starting from</x:v>
      </x:c>
      <x:c r="G72" s="22" t="str">
        <x:v>Extra at actual</x:v>
      </x:c>
      <x:c r="H72" s="22" t="n">
        <x:v>60</x:v>
      </x:c>
      <x:c r="I72" s="22" t="n">
        <x:f>E72-H72</x:f>
        <x:v>640</x:v>
      </x:c>
      <x:c r="J72" s="23" t="n">
        <x:f>IFERROR(I72/E72,0)</x:f>
        <x:v>0.9142857142857143</x:v>
      </x:c>
      <x:c r="K72" s="21" t="str">
        <x:v>Yes</x:v>
      </x:c>
      <x:c r="L72" s="21" t="str">
        <x:v>Yes</x:v>
      </x:c>
      <x:c r="M72" s="21" t="str">
        <x:v>Same day / depends on portal</x:v>
      </x:c>
      <x:c r="N72" s="21" t="str">
        <x:v>Existing FSSAI + updated details</x:v>
      </x:c>
      <x:c r="O72" s="21" t="str"/>
      <x:c r="P72" s="21" t="str">
        <x:v>https://foscos.fssai.gov.in/</x:v>
      </x:c>
    </x:row>
    <x:row r="73">
      <x:c r="A73" s="21" t="n">
        <x:v>72</x:v>
      </x:c>
      <x:c r="B73" s="21" t="str">
        <x:v>Food, Restaurant &amp; Hospitality</x:v>
      </x:c>
      <x:c r="C73" s="21" t="str">
        <x:v>FSSAI modification assistance</x:v>
      </x:c>
      <x:c r="D73" s="22" t="n">
        <x:v>800</x:v>
      </x:c>
      <x:c r="E73" s="22" t="n">
        <x:v>800</x:v>
      </x:c>
      <x:c r="F73" s="22" t="str">
        <x:v>Starting from</x:v>
      </x:c>
      <x:c r="G73" s="22" t="str">
        <x:v>Extra at actual</x:v>
      </x:c>
      <x:c r="H73" s="22" t="n">
        <x:v>70</x:v>
      </x:c>
      <x:c r="I73" s="22" t="n">
        <x:f>E73-H73</x:f>
        <x:v>730</x:v>
      </x:c>
      <x:c r="J73" s="23" t="n">
        <x:f>IFERROR(I73/E73,0)</x:f>
        <x:v>0.9125</x:v>
      </x:c>
      <x:c r="K73" s="21" t="str">
        <x:v>Yes</x:v>
      </x:c>
      <x:c r="L73" s="21" t="str">
        <x:v>Yes</x:v>
      </x:c>
      <x:c r="M73" s="21" t="str">
        <x:v>Same day / depends on portal</x:v>
      </x:c>
      <x:c r="N73" s="21" t="str">
        <x:v>Existing licence + change documents</x:v>
      </x:c>
      <x:c r="O73" s="21" t="str"/>
      <x:c r="P73" s="21" t="str">
        <x:v>https://foscos.fssai.gov.in/</x:v>
      </x:c>
    </x:row>
    <x:row r="74">
      <x:c r="A74" s="21" t="n">
        <x:v>73</x:v>
      </x:c>
      <x:c r="B74" s="21" t="str">
        <x:v>Food, Restaurant &amp; Hospitality</x:v>
      </x:c>
      <x:c r="C74" s="21" t="str">
        <x:v>Cloud kitchen startup documentation package</x:v>
      </x:c>
      <x:c r="D74" s="22" t="n">
        <x:v>3500</x:v>
      </x:c>
      <x:c r="E74" s="22" t="n">
        <x:v>3500</x:v>
      </x:c>
      <x:c r="F74" s="22" t="str">
        <x:v>Starting from</x:v>
      </x:c>
      <x:c r="G74" s="22" t="str">
        <x:v>Extra at actual</x:v>
      </x:c>
      <x:c r="H74" s="22" t="n">
        <x:v>250</x:v>
      </x:c>
      <x:c r="I74" s="22" t="n">
        <x:f>E74-H74</x:f>
        <x:v>3250</x:v>
      </x:c>
      <x:c r="J74" s="23" t="n">
        <x:f>IFERROR(I74/E74,0)</x:f>
        <x:v>0.9285714285714286</x:v>
      </x:c>
      <x:c r="K74" s="21" t="str">
        <x:v>Yes</x:v>
      </x:c>
      <x:c r="L74" s="21" t="str">
        <x:v>Yes</x:v>
      </x:c>
      <x:c r="M74" s="21" t="str">
        <x:v>Same day / depends on portal</x:v>
      </x:c>
      <x:c r="N74" s="21" t="str">
        <x:v>Business/KYC/premises/menu details</x:v>
      </x:c>
      <x:c r="O74" s="21" t="str">
        <x:v>Authority fees extra.</x:v>
      </x:c>
      <x:c r="P74" s="21" t="str"/>
    </x:row>
    <x:row r="75">
      <x:c r="A75" s="21" t="n">
        <x:v>74</x:v>
      </x:c>
      <x:c r="B75" s="21" t="str">
        <x:v>Food, Restaurant &amp; Hospitality</x:v>
      </x:c>
      <x:c r="C75" s="21" t="str">
        <x:v>Restaurant startup documentation package</x:v>
      </x:c>
      <x:c r="D75" s="22" t="n">
        <x:v>4999</x:v>
      </x:c>
      <x:c r="E75" s="22" t="n">
        <x:v>4999</x:v>
      </x:c>
      <x:c r="F75" s="22" t="str">
        <x:v>Starting from</x:v>
      </x:c>
      <x:c r="G75" s="22" t="str">
        <x:v>Extra at actual</x:v>
      </x:c>
      <x:c r="H75" s="22" t="n">
        <x:v>350</x:v>
      </x:c>
      <x:c r="I75" s="22" t="n">
        <x:f>E75-H75</x:f>
        <x:v>4649</x:v>
      </x:c>
      <x:c r="J75" s="23" t="n">
        <x:f>IFERROR(I75/E75,0)</x:f>
        <x:v>0.9299859971994399</x:v>
      </x:c>
      <x:c r="K75" s="21" t="str">
        <x:v>Yes</x:v>
      </x:c>
      <x:c r="L75" s="21" t="str">
        <x:v>Yes</x:v>
      </x:c>
      <x:c r="M75" s="21" t="str">
        <x:v>Same day / depends on portal</x:v>
      </x:c>
      <x:c r="N75" s="21" t="str">
        <x:v>Business/KYC/premises/food activity details</x:v>
      </x:c>
      <x:c r="O75" s="21" t="str"/>
      <x:c r="P75" s="21" t="str"/>
    </x:row>
    <x:row r="76">
      <x:c r="A76" s="21" t="n">
        <x:v>75</x:v>
      </x:c>
      <x:c r="B76" s="21" t="str">
        <x:v>Food, Restaurant &amp; Hospitality</x:v>
      </x:c>
      <x:c r="C76" s="21" t="str">
        <x:v>Menu design – single / small menu</x:v>
      </x:c>
      <x:c r="D76" s="22" t="n">
        <x:v>600</x:v>
      </x:c>
      <x:c r="E76" s="22" t="n">
        <x:v>600</x:v>
      </x:c>
      <x:c r="F76" s="22" t="str">
        <x:v>Starting from</x:v>
      </x:c>
      <x:c r="G76" s="22" t="str">
        <x:v>Extra at actual</x:v>
      </x:c>
      <x:c r="H76" s="22" t="n">
        <x:v>60</x:v>
      </x:c>
      <x:c r="I76" s="22" t="n">
        <x:f>E76-H76</x:f>
        <x:v>540</x:v>
      </x:c>
      <x:c r="J76" s="23" t="n">
        <x:f>IFERROR(I76/E76,0)</x:f>
        <x:v>0.9</x:v>
      </x:c>
      <x:c r="K76" s="21" t="str">
        <x:v>Yes</x:v>
      </x:c>
      <x:c r="L76" s="21" t="str">
        <x:v>No</x:v>
      </x:c>
      <x:c r="M76" s="21" t="str">
        <x:v>Same day / depends on portal</x:v>
      </x:c>
      <x:c r="N76" s="21" t="str">
        <x:v>Menu items + prices + logo/photos</x:v>
      </x:c>
      <x:c r="O76" s="21" t="str"/>
      <x:c r="P76" s="21" t="str"/>
    </x:row>
    <x:row r="77">
      <x:c r="A77" s="21" t="n">
        <x:v>76</x:v>
      </x:c>
      <x:c r="B77" s="21" t="str">
        <x:v>Food, Restaurant &amp; Hospitality</x:v>
      </x:c>
      <x:c r="C77" s="21" t="str">
        <x:v>QR menu setup</x:v>
      </x:c>
      <x:c r="D77" s="22" t="n">
        <x:v>500</x:v>
      </x:c>
      <x:c r="E77" s="22" t="n">
        <x:v>500</x:v>
      </x:c>
      <x:c r="F77" s="22" t="str">
        <x:v>Starting from</x:v>
      </x:c>
      <x:c r="G77" s="22" t="str">
        <x:v>Extra at actual</x:v>
      </x:c>
      <x:c r="H77" s="22" t="n">
        <x:v>40</x:v>
      </x:c>
      <x:c r="I77" s="22" t="n">
        <x:f>E77-H77</x:f>
        <x:v>460</x:v>
      </x:c>
      <x:c r="J77" s="23" t="n">
        <x:f>IFERROR(I77/E77,0)</x:f>
        <x:v>0.92</x:v>
      </x:c>
      <x:c r="K77" s="21" t="str">
        <x:v>Yes</x:v>
      </x:c>
      <x:c r="L77" s="21" t="str">
        <x:v>No</x:v>
      </x:c>
      <x:c r="M77" s="21" t="str">
        <x:v>Same day / depends on portal</x:v>
      </x:c>
      <x:c r="N77" s="21" t="str">
        <x:v>Menu content + online destination</x:v>
      </x:c>
      <x:c r="O77" s="21" t="str"/>
      <x:c r="P77" s="21" t="str"/>
    </x:row>
    <x:row r="78">
      <x:c r="A78" s="21" t="n">
        <x:v>77</x:v>
      </x:c>
      <x:c r="B78" s="21" t="str">
        <x:v>Food, Restaurant &amp; Hospitality</x:v>
      </x:c>
      <x:c r="C78" s="21" t="str">
        <x:v>Restaurant Google Business Profile setup</x:v>
      </x:c>
      <x:c r="D78" s="22" t="n">
        <x:v>800</x:v>
      </x:c>
      <x:c r="E78" s="22" t="n">
        <x:v>800</x:v>
      </x:c>
      <x:c r="F78" s="22" t="str">
        <x:v>Starting from</x:v>
      </x:c>
      <x:c r="G78" s="22" t="str">
        <x:v>Extra at actual</x:v>
      </x:c>
      <x:c r="H78" s="22" t="n">
        <x:v>60</x:v>
      </x:c>
      <x:c r="I78" s="22" t="n">
        <x:f>E78-H78</x:f>
        <x:v>740</x:v>
      </x:c>
      <x:c r="J78" s="23" t="n">
        <x:f>IFERROR(I78/E78,0)</x:f>
        <x:v>0.925</x:v>
      </x:c>
      <x:c r="K78" s="21" t="str">
        <x:v>Yes</x:v>
      </x:c>
      <x:c r="L78" s="21" t="str">
        <x:v>No</x:v>
      </x:c>
      <x:c r="M78" s="21" t="str">
        <x:v>Same day / depends on portal</x:v>
      </x:c>
      <x:c r="N78" s="21" t="str">
        <x:v>Business details + photos + verification access</x:v>
      </x:c>
      <x:c r="O78" s="21" t="str"/>
      <x:c r="P78" s="21" t="str"/>
    </x:row>
    <x:row r="79">
      <x:c r="A79" s="21" t="n">
        <x:v>78</x:v>
      </x:c>
      <x:c r="B79" s="21" t="str">
        <x:v>Property &amp; Real Estate</x:v>
      </x:c>
      <x:c r="C79" s="21" t="str">
        <x:v>MahaRERA agent registration documentation assistance</x:v>
      </x:c>
      <x:c r="D79" s="22" t="n">
        <x:v>2500</x:v>
      </x:c>
      <x:c r="E79" s="22" t="n">
        <x:v>2500</x:v>
      </x:c>
      <x:c r="F79" s="22" t="str">
        <x:v>Starting from</x:v>
      </x:c>
      <x:c r="G79" s="22" t="str">
        <x:v>Extra at actual</x:v>
      </x:c>
      <x:c r="H79" s="22" t="n">
        <x:v>200</x:v>
      </x:c>
      <x:c r="I79" s="22" t="n">
        <x:f>E79-H79</x:f>
        <x:v>2300</x:v>
      </x:c>
      <x:c r="J79" s="23" t="n">
        <x:f>IFERROR(I79/E79,0)</x:f>
        <x:v>0.92</x:v>
      </x:c>
      <x:c r="K79" s="21" t="str">
        <x:v>Yes</x:v>
      </x:c>
      <x:c r="L79" s="21" t="str">
        <x:v>Yes</x:v>
      </x:c>
      <x:c r="M79" s="21" t="str">
        <x:v>Same day / depends on portal</x:v>
      </x:c>
      <x:c r="N79" s="21" t="str">
        <x:v>Applicant/business/competency and KYC documents</x:v>
      </x:c>
      <x:c r="O79" s="21" t="str">
        <x:v>MahaRERA statutory fee extra.</x:v>
      </x:c>
      <x:c r="P79" s="21" t="str">
        <x:v>https://maharera.maharashtra.gov.in/</x:v>
      </x:c>
    </x:row>
    <x:row r="80">
      <x:c r="A80" s="21" t="n">
        <x:v>79</x:v>
      </x:c>
      <x:c r="B80" s="21" t="str">
        <x:v>Property &amp; Real Estate</x:v>
      </x:c>
      <x:c r="C80" s="21" t="str">
        <x:v>MahaRERA agent renewal documentation assistance</x:v>
      </x:c>
      <x:c r="D80" s="22" t="n">
        <x:v>2000</x:v>
      </x:c>
      <x:c r="E80" s="22" t="n">
        <x:v>2000</x:v>
      </x:c>
      <x:c r="F80" s="22" t="str">
        <x:v>Starting from</x:v>
      </x:c>
      <x:c r="G80" s="22" t="str">
        <x:v>Extra at actual</x:v>
      </x:c>
      <x:c r="H80" s="22" t="n">
        <x:v>180</x:v>
      </x:c>
      <x:c r="I80" s="22" t="n">
        <x:f>E80-H80</x:f>
        <x:v>1820</x:v>
      </x:c>
      <x:c r="J80" s="23" t="n">
        <x:f>IFERROR(I80/E80,0)</x:f>
        <x:v>0.91</x:v>
      </x:c>
      <x:c r="K80" s="21" t="str">
        <x:v>Yes</x:v>
      </x:c>
      <x:c r="L80" s="21" t="str">
        <x:v>Yes</x:v>
      </x:c>
      <x:c r="M80" s="21" t="str">
        <x:v>Same day / depends on portal</x:v>
      </x:c>
      <x:c r="N80" s="21" t="str">
        <x:v>Existing registration + renewal documents</x:v>
      </x:c>
      <x:c r="O80" s="21" t="str"/>
      <x:c r="P80" s="21" t="str">
        <x:v>https://maharera.maharashtra.gov.in/</x:v>
      </x:c>
    </x:row>
    <x:row r="81">
      <x:c r="A81" s="21" t="n">
        <x:v>80</x:v>
      </x:c>
      <x:c r="B81" s="21" t="str">
        <x:v>Property &amp; Real Estate</x:v>
      </x:c>
      <x:c r="C81" s="21" t="str">
        <x:v>Property rent agreement data-preparation assistance</x:v>
      </x:c>
      <x:c r="D81" s="22" t="n">
        <x:v>500</x:v>
      </x:c>
      <x:c r="E81" s="22" t="n">
        <x:v>500</x:v>
      </x:c>
      <x:c r="F81" s="22" t="str">
        <x:v>Starting from</x:v>
      </x:c>
      <x:c r="G81" s="22" t="str">
        <x:v>Extra at actual</x:v>
      </x:c>
      <x:c r="H81" s="22" t="n">
        <x:v>50</x:v>
      </x:c>
      <x:c r="I81" s="22" t="n">
        <x:f>E81-H81</x:f>
        <x:v>450</x:v>
      </x:c>
      <x:c r="J81" s="23" t="n">
        <x:f>IFERROR(I81/E81,0)</x:f>
        <x:v>0.9</x:v>
      </x:c>
      <x:c r="K81" s="21" t="str">
        <x:v>Yes</x:v>
      </x:c>
      <x:c r="L81" s="21" t="str">
        <x:v>Yes</x:v>
      </x:c>
      <x:c r="M81" s="21" t="str">
        <x:v>Same day / depends on portal</x:v>
      </x:c>
      <x:c r="N81" s="21" t="str">
        <x:v>Owner/tenant/property terms</x:v>
      </x:c>
      <x:c r="O81" s="21" t="str">
        <x:v>Stamp duty/registration/service-provider charges extra.</x:v>
      </x:c>
      <x:c r="P81" s="21" t="str"/>
    </x:row>
    <x:row r="82">
      <x:c r="A82" s="21" t="n">
        <x:v>81</x:v>
      </x:c>
      <x:c r="B82" s="21" t="str">
        <x:v>Property &amp; Real Estate</x:v>
      </x:c>
      <x:c r="C82" s="21" t="str">
        <x:v>Leave &amp; licence document checklist assistance</x:v>
      </x:c>
      <x:c r="D82" s="22" t="n">
        <x:v>400</x:v>
      </x:c>
      <x:c r="E82" s="22" t="n">
        <x:v>400</x:v>
      </x:c>
      <x:c r="F82" s="22" t="str">
        <x:v>Fixed</x:v>
      </x:c>
      <x:c r="G82" s="22" t="str">
        <x:v>Extra at actual</x:v>
      </x:c>
      <x:c r="H82" s="22" t="n">
        <x:v>40</x:v>
      </x:c>
      <x:c r="I82" s="22" t="n">
        <x:f>E82-H82</x:f>
        <x:v>360</x:v>
      </x:c>
      <x:c r="J82" s="23" t="n">
        <x:f>IFERROR(I82/E82,0)</x:f>
        <x:v>0.9</x:v>
      </x:c>
      <x:c r="K82" s="21" t="str">
        <x:v>Yes</x:v>
      </x:c>
      <x:c r="L82" s="21" t="str">
        <x:v>Yes</x:v>
      </x:c>
      <x:c r="M82" s="21" t="str">
        <x:v>Same day / depends on portal</x:v>
      </x:c>
      <x:c r="N82" s="21" t="str">
        <x:v>Owner/tenant/property details</x:v>
      </x:c>
      <x:c r="O82" s="21" t="str"/>
      <x:c r="P82" s="21" t="str"/>
    </x:row>
    <x:row r="83">
      <x:c r="A83" s="21" t="n">
        <x:v>82</x:v>
      </x:c>
      <x:c r="B83" s="21" t="str">
        <x:v>Property &amp; Real Estate</x:v>
      </x:c>
      <x:c r="C83" s="21" t="str">
        <x:v>Society NOC / request letter drafting</x:v>
      </x:c>
      <x:c r="D83" s="22" t="n">
        <x:v>300</x:v>
      </x:c>
      <x:c r="E83" s="22" t="n">
        <x:v>300</x:v>
      </x:c>
      <x:c r="F83" s="22" t="str">
        <x:v>Starting from</x:v>
      </x:c>
      <x:c r="G83" s="22" t="str">
        <x:v>Extra at actual</x:v>
      </x:c>
      <x:c r="H83" s="22" t="n">
        <x:v>30</x:v>
      </x:c>
      <x:c r="I83" s="22" t="n">
        <x:f>E83-H83</x:f>
        <x:v>270</x:v>
      </x:c>
      <x:c r="J83" s="23" t="n">
        <x:f>IFERROR(I83/E83,0)</x:f>
        <x:v>0.9</x:v>
      </x:c>
      <x:c r="K83" s="21" t="str">
        <x:v>Yes</x:v>
      </x:c>
      <x:c r="L83" s="21" t="str">
        <x:v>No</x:v>
      </x:c>
      <x:c r="M83" s="21" t="str">
        <x:v>Same day / depends on portal</x:v>
      </x:c>
      <x:c r="N83" s="21" t="str">
        <x:v>Society/member/property details</x:v>
      </x:c>
      <x:c r="O83" s="21" t="str"/>
      <x:c r="P83" s="21" t="str"/>
    </x:row>
    <x:row r="84">
      <x:c r="A84" s="21" t="n">
        <x:v>83</x:v>
      </x:c>
      <x:c r="B84" s="21" t="str">
        <x:v>Property &amp; Real Estate</x:v>
      </x:c>
      <x:c r="C84" s="21" t="str">
        <x:v>Property name-change application drafting</x:v>
      </x:c>
      <x:c r="D84" s="22" t="n">
        <x:v>500</x:v>
      </x:c>
      <x:c r="E84" s="22" t="n">
        <x:v>500</x:v>
      </x:c>
      <x:c r="F84" s="22" t="str">
        <x:v>Starting from</x:v>
      </x:c>
      <x:c r="G84" s="22" t="str">
        <x:v>Extra at actual</x:v>
      </x:c>
      <x:c r="H84" s="22" t="n">
        <x:v>50</x:v>
      </x:c>
      <x:c r="I84" s="22" t="n">
        <x:f>E84-H84</x:f>
        <x:v>450</x:v>
      </x:c>
      <x:c r="J84" s="23" t="n">
        <x:f>IFERROR(I84/E84,0)</x:f>
        <x:v>0.9</x:v>
      </x:c>
      <x:c r="K84" s="21" t="str">
        <x:v>Yes</x:v>
      </x:c>
      <x:c r="L84" s="21" t="str">
        <x:v>Yes</x:v>
      </x:c>
      <x:c r="M84" s="21" t="str">
        <x:v>Same day / depends on portal</x:v>
      </x:c>
      <x:c r="N84" s="21" t="str">
        <x:v>Property papers + proof of change</x:v>
      </x:c>
      <x:c r="O84" s="21" t="str"/>
      <x:c r="P84" s="21" t="str"/>
    </x:row>
    <x:row r="85">
      <x:c r="A85" s="21" t="n">
        <x:v>84</x:v>
      </x:c>
      <x:c r="B85" s="21" t="str">
        <x:v>Property &amp; Real Estate</x:v>
      </x:c>
      <x:c r="C85" s="21" t="str">
        <x:v>Property document scanning &amp; indexed PDF folder</x:v>
      </x:c>
      <x:c r="D85" s="22" t="n">
        <x:v>500</x:v>
      </x:c>
      <x:c r="E85" s="22" t="n">
        <x:v>500</x:v>
      </x:c>
      <x:c r="F85" s="22" t="str">
        <x:v>Starting from</x:v>
      </x:c>
      <x:c r="G85" s="22" t="str">
        <x:v>Extra at actual</x:v>
      </x:c>
      <x:c r="H85" s="22" t="n">
        <x:v>80</x:v>
      </x:c>
      <x:c r="I85" s="22" t="n">
        <x:f>E85-H85</x:f>
        <x:v>420</x:v>
      </x:c>
      <x:c r="J85" s="23" t="n">
        <x:f>IFERROR(I85/E85,0)</x:f>
        <x:v>0.84</x:v>
      </x:c>
      <x:c r="K85" s="21" t="str">
        <x:v>Yes</x:v>
      </x:c>
      <x:c r="L85" s="21" t="str">
        <x:v>No</x:v>
      </x:c>
      <x:c r="M85" s="21" t="str">
        <x:v>Same day / depends on portal</x:v>
      </x:c>
      <x:c r="N85" s="21" t="str">
        <x:v>Property document set</x:v>
      </x:c>
      <x:c r="O85" s="21" t="str"/>
      <x:c r="P85" s="21" t="str"/>
    </x:row>
    <x:row r="86">
      <x:c r="A86" s="21" t="n">
        <x:v>85</x:v>
      </x:c>
      <x:c r="B86" s="21" t="str">
        <x:v>Property &amp; Real Estate</x:v>
      </x:c>
      <x:c r="C86" s="21" t="str">
        <x:v>Real-estate broker digital business setup</x:v>
      </x:c>
      <x:c r="D86" s="22" t="n">
        <x:v>2500</x:v>
      </x:c>
      <x:c r="E86" s="22" t="n">
        <x:v>2500</x:v>
      </x:c>
      <x:c r="F86" s="22" t="str">
        <x:v>Starting from</x:v>
      </x:c>
      <x:c r="G86" s="22" t="str">
        <x:v>Extra at actual</x:v>
      </x:c>
      <x:c r="H86" s="22" t="n">
        <x:v>180</x:v>
      </x:c>
      <x:c r="I86" s="22" t="n">
        <x:f>E86-H86</x:f>
        <x:v>2320</x:v>
      </x:c>
      <x:c r="J86" s="23" t="n">
        <x:f>IFERROR(I86/E86,0)</x:f>
        <x:v>0.928</x:v>
      </x:c>
      <x:c r="K86" s="21" t="str">
        <x:v>Yes</x:v>
      </x:c>
      <x:c r="L86" s="21" t="str">
        <x:v>No</x:v>
      </x:c>
      <x:c r="M86" s="21" t="str">
        <x:v>Same day / depends on portal</x:v>
      </x:c>
      <x:c r="N86" s="21" t="str">
        <x:v>Business details + branding</x:v>
      </x:c>
      <x:c r="O86" s="21" t="str"/>
      <x:c r="P86" s="21" t="str"/>
    </x:row>
    <x:row r="87">
      <x:c r="A87" s="21" t="n">
        <x:v>86</x:v>
      </x:c>
      <x:c r="B87" s="21" t="str">
        <x:v>Property &amp; Real Estate</x:v>
      </x:c>
      <x:c r="C87" s="21" t="str">
        <x:v>Property listing poster / creative</x:v>
      </x:c>
      <x:c r="D87" s="22" t="n">
        <x:v>300</x:v>
      </x:c>
      <x:c r="E87" s="22" t="n">
        <x:v>300</x:v>
      </x:c>
      <x:c r="F87" s="22" t="str">
        <x:v>Per creative</x:v>
      </x:c>
      <x:c r="G87" s="22" t="str">
        <x:v>Extra at actual</x:v>
      </x:c>
      <x:c r="H87" s="22" t="n">
        <x:v>30</x:v>
      </x:c>
      <x:c r="I87" s="22" t="n">
        <x:f>E87-H87</x:f>
        <x:v>270</x:v>
      </x:c>
      <x:c r="J87" s="23" t="n">
        <x:f>IFERROR(I87/E87,0)</x:f>
        <x:v>0.9</x:v>
      </x:c>
      <x:c r="K87" s="21" t="str">
        <x:v>Yes</x:v>
      </x:c>
      <x:c r="L87" s="21" t="str">
        <x:v>No</x:v>
      </x:c>
      <x:c r="M87" s="21" t="str">
        <x:v>Same day / depends on portal</x:v>
      </x:c>
      <x:c r="N87" s="21" t="str">
        <x:v>Property details + photos</x:v>
      </x:c>
      <x:c r="O87" s="21" t="str"/>
      <x:c r="P87" s="21" t="str"/>
    </x:row>
    <x:row r="88">
      <x:c r="A88" s="21" t="n">
        <x:v>87</x:v>
      </x:c>
      <x:c r="B88" s="21" t="str">
        <x:v>Property &amp; Real Estate</x:v>
      </x:c>
      <x:c r="C88" s="21" t="str">
        <x:v>Property brochure / project presentation</x:v>
      </x:c>
      <x:c r="D88" s="22" t="n">
        <x:v>1500</x:v>
      </x:c>
      <x:c r="E88" s="22" t="n">
        <x:v>1500</x:v>
      </x:c>
      <x:c r="F88" s="22" t="str">
        <x:v>Starting from</x:v>
      </x:c>
      <x:c r="G88" s="22" t="str">
        <x:v>Extra at actual</x:v>
      </x:c>
      <x:c r="H88" s="22" t="n">
        <x:v>120</x:v>
      </x:c>
      <x:c r="I88" s="22" t="n">
        <x:f>E88-H88</x:f>
        <x:v>1380</x:v>
      </x:c>
      <x:c r="J88" s="23" t="n">
        <x:f>IFERROR(I88/E88,0)</x:f>
        <x:v>0.92</x:v>
      </x:c>
      <x:c r="K88" s="21" t="str">
        <x:v>Yes</x:v>
      </x:c>
      <x:c r="L88" s="21" t="str">
        <x:v>No</x:v>
      </x:c>
      <x:c r="M88" s="21" t="str">
        <x:v>Same day / depends on portal</x:v>
      </x:c>
      <x:c r="N88" s="21" t="str">
        <x:v>Project/property details + images</x:v>
      </x:c>
      <x:c r="O88" s="21" t="str"/>
      <x:c r="P88" s="21" t="str"/>
    </x:row>
    <x:row r="89">
      <x:c r="A89" s="21" t="n">
        <x:v>88</x:v>
      </x:c>
      <x:c r="B89" s="21" t="str">
        <x:v>E-commerce &amp; Import-Export</x:v>
      </x:c>
      <x:c r="C89" s="21" t="str">
        <x:v>Amazon seller account setup assistance</x:v>
      </x:c>
      <x:c r="D89" s="22" t="n">
        <x:v>1000</x:v>
      </x:c>
      <x:c r="E89" s="22" t="n">
        <x:v>1000</x:v>
      </x:c>
      <x:c r="F89" s="22" t="str">
        <x:v>Starting from</x:v>
      </x:c>
      <x:c r="G89" s="22" t="str">
        <x:v>Extra at actual</x:v>
      </x:c>
      <x:c r="H89" s="22" t="n">
        <x:v>80</x:v>
      </x:c>
      <x:c r="I89" s="22" t="n">
        <x:f>E89-H89</x:f>
        <x:v>920</x:v>
      </x:c>
      <x:c r="J89" s="23" t="n">
        <x:f>IFERROR(I89/E89,0)</x:f>
        <x:v>0.92</x:v>
      </x:c>
      <x:c r="K89" s="21" t="str">
        <x:v>Yes</x:v>
      </x:c>
      <x:c r="L89" s="21" t="str">
        <x:v>Yes</x:v>
      </x:c>
      <x:c r="M89" s="21" t="str">
        <x:v>Same day / depends on portal</x:v>
      </x:c>
      <x:c r="N89" s="21" t="str">
        <x:v>Seller KYC, GST if applicable, bank and business details</x:v>
      </x:c>
      <x:c r="O89" s="21" t="str"/>
      <x:c r="P89" s="21" t="str"/>
    </x:row>
    <x:row r="90">
      <x:c r="A90" s="21" t="n">
        <x:v>89</x:v>
      </x:c>
      <x:c r="B90" s="21" t="str">
        <x:v>E-commerce &amp; Import-Export</x:v>
      </x:c>
      <x:c r="C90" s="21" t="str">
        <x:v>Flipkart seller account setup assistance</x:v>
      </x:c>
      <x:c r="D90" s="22" t="n">
        <x:v>1000</x:v>
      </x:c>
      <x:c r="E90" s="22" t="n">
        <x:v>1000</x:v>
      </x:c>
      <x:c r="F90" s="22" t="str">
        <x:v>Starting from</x:v>
      </x:c>
      <x:c r="G90" s="22" t="str">
        <x:v>Extra at actual</x:v>
      </x:c>
      <x:c r="H90" s="22" t="n">
        <x:v>80</x:v>
      </x:c>
      <x:c r="I90" s="22" t="n">
        <x:f>E90-H90</x:f>
        <x:v>920</x:v>
      </x:c>
      <x:c r="J90" s="23" t="n">
        <x:f>IFERROR(I90/E90,0)</x:f>
        <x:v>0.92</x:v>
      </x:c>
      <x:c r="K90" s="21" t="str">
        <x:v>Yes</x:v>
      </x:c>
      <x:c r="L90" s="21" t="str">
        <x:v>Yes</x:v>
      </x:c>
      <x:c r="M90" s="21" t="str">
        <x:v>Same day / depends on portal</x:v>
      </x:c>
      <x:c r="N90" s="21" t="str">
        <x:v>Seller KYC, GST if applicable, bank and business details</x:v>
      </x:c>
      <x:c r="O90" s="21" t="str"/>
      <x:c r="P90" s="21" t="str"/>
    </x:row>
    <x:row r="91">
      <x:c r="A91" s="21" t="n">
        <x:v>90</x:v>
      </x:c>
      <x:c r="B91" s="21" t="str">
        <x:v>E-commerce &amp; Import-Export</x:v>
      </x:c>
      <x:c r="C91" s="21" t="str">
        <x:v>Meesho seller account setup assistance</x:v>
      </x:c>
      <x:c r="D91" s="22" t="n">
        <x:v>800</x:v>
      </x:c>
      <x:c r="E91" s="22" t="n">
        <x:v>800</x:v>
      </x:c>
      <x:c r="F91" s="22" t="str">
        <x:v>Starting from</x:v>
      </x:c>
      <x:c r="G91" s="22" t="str">
        <x:v>Extra at actual</x:v>
      </x:c>
      <x:c r="H91" s="22" t="n">
        <x:v>60</x:v>
      </x:c>
      <x:c r="I91" s="22" t="n">
        <x:f>E91-H91</x:f>
        <x:v>740</x:v>
      </x:c>
      <x:c r="J91" s="23" t="n">
        <x:f>IFERROR(I91/E91,0)</x:f>
        <x:v>0.925</x:v>
      </x:c>
      <x:c r="K91" s="21" t="str">
        <x:v>Yes</x:v>
      </x:c>
      <x:c r="L91" s="21" t="str">
        <x:v>Yes</x:v>
      </x:c>
      <x:c r="M91" s="21" t="str">
        <x:v>Same day / depends on portal</x:v>
      </x:c>
      <x:c r="N91" s="21" t="str">
        <x:v>Seller KYC + bank/business details</x:v>
      </x:c>
      <x:c r="O91" s="21" t="str"/>
      <x:c r="P91" s="21" t="str"/>
    </x:row>
    <x:row r="92">
      <x:c r="A92" s="21" t="n">
        <x:v>91</x:v>
      </x:c>
      <x:c r="B92" s="21" t="str">
        <x:v>E-commerce &amp; Import-Export</x:v>
      </x:c>
      <x:c r="C92" s="21" t="str">
        <x:v>Marketplace product listing – basic</x:v>
      </x:c>
      <x:c r="D92" s="22" t="n">
        <x:v>150</x:v>
      </x:c>
      <x:c r="E92" s="22" t="n">
        <x:v>150</x:v>
      </x:c>
      <x:c r="F92" s="22" t="str">
        <x:v>Per SKU</x:v>
      </x:c>
      <x:c r="G92" s="22" t="str">
        <x:v>Extra at actual</x:v>
      </x:c>
      <x:c r="H92" s="22" t="n">
        <x:v>20</x:v>
      </x:c>
      <x:c r="I92" s="22" t="n">
        <x:f>E92-H92</x:f>
        <x:v>130</x:v>
      </x:c>
      <x:c r="J92" s="23" t="n">
        <x:f>IFERROR(I92/E92,0)</x:f>
        <x:v>0.8666666666666667</x:v>
      </x:c>
      <x:c r="K92" s="21" t="str">
        <x:v>Yes</x:v>
      </x:c>
      <x:c r="L92" s="21" t="str">
        <x:v>No</x:v>
      </x:c>
      <x:c r="M92" s="21" t="str">
        <x:v>Same day / depends on portal</x:v>
      </x:c>
      <x:c r="N92" s="21" t="str">
        <x:v>Product title/specs/photos/price</x:v>
      </x:c>
      <x:c r="O92" s="21" t="str"/>
      <x:c r="P92" s="21" t="str"/>
    </x:row>
    <x:row r="93">
      <x:c r="A93" s="21" t="n">
        <x:v>92</x:v>
      </x:c>
      <x:c r="B93" s="21" t="str">
        <x:v>E-commerce &amp; Import-Export</x:v>
      </x:c>
      <x:c r="C93" s="21" t="str">
        <x:v>Marketplace optimized product listing</x:v>
      </x:c>
      <x:c r="D93" s="22" t="n">
        <x:v>300</x:v>
      </x:c>
      <x:c r="E93" s="22" t="n">
        <x:v>300</x:v>
      </x:c>
      <x:c r="F93" s="22" t="str">
        <x:v>Per SKU</x:v>
      </x:c>
      <x:c r="G93" s="22" t="str">
        <x:v>Extra at actual</x:v>
      </x:c>
      <x:c r="H93" s="22" t="n">
        <x:v>40</x:v>
      </x:c>
      <x:c r="I93" s="22" t="n">
        <x:f>E93-H93</x:f>
        <x:v>260</x:v>
      </x:c>
      <x:c r="J93" s="23" t="n">
        <x:f>IFERROR(I93/E93,0)</x:f>
        <x:v>0.8666666666666667</x:v>
      </x:c>
      <x:c r="K93" s="21" t="str">
        <x:v>Yes</x:v>
      </x:c>
      <x:c r="L93" s="21" t="str">
        <x:v>No</x:v>
      </x:c>
      <x:c r="M93" s="21" t="str">
        <x:v>Same day / depends on portal</x:v>
      </x:c>
      <x:c r="N93" s="21" t="str">
        <x:v>Product details + keywords + photos</x:v>
      </x:c>
      <x:c r="O93" s="21" t="str"/>
      <x:c r="P93" s="21" t="str"/>
    </x:row>
    <x:row r="94">
      <x:c r="A94" s="21" t="n">
        <x:v>93</x:v>
      </x:c>
      <x:c r="B94" s="21" t="str">
        <x:v>E-commerce &amp; Import-Export</x:v>
      </x:c>
      <x:c r="C94" s="21" t="str">
        <x:v>10-product seller listing package</x:v>
      </x:c>
      <x:c r="D94" s="22" t="n">
        <x:v>2000</x:v>
      </x:c>
      <x:c r="E94" s="22" t="n">
        <x:v>2000</x:v>
      </x:c>
      <x:c r="F94" s="22" t="str">
        <x:v>Package</x:v>
      </x:c>
      <x:c r="G94" s="22" t="str">
        <x:v>Extra at actual</x:v>
      </x:c>
      <x:c r="H94" s="22" t="n">
        <x:v>180</x:v>
      </x:c>
      <x:c r="I94" s="22" t="n">
        <x:f>E94-H94</x:f>
        <x:v>1820</x:v>
      </x:c>
      <x:c r="J94" s="23" t="n">
        <x:f>IFERROR(I94/E94,0)</x:f>
        <x:v>0.91</x:v>
      </x:c>
      <x:c r="K94" s="21" t="str">
        <x:v>Yes</x:v>
      </x:c>
      <x:c r="L94" s="21" t="str">
        <x:v>No</x:v>
      </x:c>
      <x:c r="M94" s="21" t="str">
        <x:v>Same day / depends on portal</x:v>
      </x:c>
      <x:c r="N94" s="21" t="str">
        <x:v>Up to 10 products</x:v>
      </x:c>
      <x:c r="O94" s="21" t="str"/>
      <x:c r="P94" s="21" t="str"/>
    </x:row>
    <x:row r="95">
      <x:c r="A95" s="21" t="n">
        <x:v>94</x:v>
      </x:c>
      <x:c r="B95" s="21" t="str">
        <x:v>E-commerce &amp; Import-Export</x:v>
      </x:c>
      <x:c r="C95" s="21" t="str">
        <x:v>Product catalogue PDF</x:v>
      </x:c>
      <x:c r="D95" s="22" t="n">
        <x:v>1500</x:v>
      </x:c>
      <x:c r="E95" s="22" t="n">
        <x:v>1500</x:v>
      </x:c>
      <x:c r="F95" s="22" t="str">
        <x:v>Starting from</x:v>
      </x:c>
      <x:c r="G95" s="22" t="str">
        <x:v>Extra at actual</x:v>
      </x:c>
      <x:c r="H95" s="22" t="n">
        <x:v>120</x:v>
      </x:c>
      <x:c r="I95" s="22" t="n">
        <x:f>E95-H95</x:f>
        <x:v>1380</x:v>
      </x:c>
      <x:c r="J95" s="23" t="n">
        <x:f>IFERROR(I95/E95,0)</x:f>
        <x:v>0.92</x:v>
      </x:c>
      <x:c r="K95" s="21" t="str">
        <x:v>Yes</x:v>
      </x:c>
      <x:c r="L95" s="21" t="str">
        <x:v>No</x:v>
      </x:c>
      <x:c r="M95" s="21" t="str">
        <x:v>Same day / depends on portal</x:v>
      </x:c>
      <x:c r="N95" s="21" t="str">
        <x:v>Products, prices, photos, logo</x:v>
      </x:c>
      <x:c r="O95" s="21" t="str"/>
      <x:c r="P95" s="21" t="str"/>
    </x:row>
    <x:row r="96">
      <x:c r="A96" s="21" t="n">
        <x:v>95</x:v>
      </x:c>
      <x:c r="B96" s="21" t="str">
        <x:v>E-commerce &amp; Import-Export</x:v>
      </x:c>
      <x:c r="C96" s="21" t="str">
        <x:v>Product image cleanup / white background</x:v>
      </x:c>
      <x:c r="D96" s="22" t="n">
        <x:v>100</x:v>
      </x:c>
      <x:c r="E96" s="22" t="n">
        <x:v>100</x:v>
      </x:c>
      <x:c r="F96" s="22" t="str">
        <x:v>Per image</x:v>
      </x:c>
      <x:c r="G96" s="22" t="str">
        <x:v>Extra at actual</x:v>
      </x:c>
      <x:c r="H96" s="22" t="n">
        <x:v>15</x:v>
      </x:c>
      <x:c r="I96" s="22" t="n">
        <x:f>E96-H96</x:f>
        <x:v>85</x:v>
      </x:c>
      <x:c r="J96" s="23" t="n">
        <x:f>IFERROR(I96/E96,0)</x:f>
        <x:v>0.85</x:v>
      </x:c>
      <x:c r="K96" s="21" t="str">
        <x:v>Yes</x:v>
      </x:c>
      <x:c r="L96" s="21" t="str">
        <x:v>No</x:v>
      </x:c>
      <x:c r="M96" s="21" t="str">
        <x:v>Same day / depends on portal</x:v>
      </x:c>
      <x:c r="N96" s="21" t="str">
        <x:v>Product photo</x:v>
      </x:c>
      <x:c r="O96" s="21" t="str"/>
      <x:c r="P96" s="21" t="str"/>
    </x:row>
    <x:row r="97">
      <x:c r="A97" s="21" t="n">
        <x:v>96</x:v>
      </x:c>
      <x:c r="B97" s="21" t="str">
        <x:v>E-commerce &amp; Import-Export</x:v>
      </x:c>
      <x:c r="C97" s="21" t="str">
        <x:v>Export quotation / proforma invoice template</x:v>
      </x:c>
      <x:c r="D97" s="22" t="n">
        <x:v>600</x:v>
      </x:c>
      <x:c r="E97" s="22" t="n">
        <x:v>600</x:v>
      </x:c>
      <x:c r="F97" s="22" t="str">
        <x:v>Starting from</x:v>
      </x:c>
      <x:c r="G97" s="22" t="str">
        <x:v>Extra at actual</x:v>
      </x:c>
      <x:c r="H97" s="22" t="n">
        <x:v>50</x:v>
      </x:c>
      <x:c r="I97" s="22" t="n">
        <x:f>E97-H97</x:f>
        <x:v>550</x:v>
      </x:c>
      <x:c r="J97" s="23" t="n">
        <x:f>IFERROR(I97/E97,0)</x:f>
        <x:v>0.9166666666666666</x:v>
      </x:c>
      <x:c r="K97" s="21" t="str">
        <x:v>Yes</x:v>
      </x:c>
      <x:c r="L97" s="21" t="str">
        <x:v>No</x:v>
      </x:c>
      <x:c r="M97" s="21" t="str">
        <x:v>Same day / depends on portal</x:v>
      </x:c>
      <x:c r="N97" s="21" t="str">
        <x:v>Business/export details</x:v>
      </x:c>
      <x:c r="O97" s="21" t="str"/>
      <x:c r="P97" s="21" t="str"/>
    </x:row>
    <x:row r="98">
      <x:c r="A98" s="21" t="n">
        <x:v>97</x:v>
      </x:c>
      <x:c r="B98" s="21" t="str">
        <x:v>E-commerce &amp; Import-Export</x:v>
      </x:c>
      <x:c r="C98" s="21" t="str">
        <x:v>Import-export starter documentation package</x:v>
      </x:c>
      <x:c r="D98" s="22" t="n">
        <x:v>3999</x:v>
      </x:c>
      <x:c r="E98" s="22" t="n">
        <x:v>3999</x:v>
      </x:c>
      <x:c r="F98" s="22" t="str">
        <x:v>Starting from</x:v>
      </x:c>
      <x:c r="G98" s="22" t="str">
        <x:v>Extra at actual</x:v>
      </x:c>
      <x:c r="H98" s="22" t="n">
        <x:v>300</x:v>
      </x:c>
      <x:c r="I98" s="22" t="n">
        <x:f>E98-H98</x:f>
        <x:v>3699</x:v>
      </x:c>
      <x:c r="J98" s="23" t="n">
        <x:f>IFERROR(I98/E98,0)</x:f>
        <x:v>0.9249812453113279</x:v>
      </x:c>
      <x:c r="K98" s="21" t="str">
        <x:v>Yes</x:v>
      </x:c>
      <x:c r="L98" s="21" t="str">
        <x:v>Yes</x:v>
      </x:c>
      <x:c r="M98" s="21" t="str">
        <x:v>Same day / depends on portal</x:v>
      </x:c>
      <x:c r="N98" s="21" t="str">
        <x:v>Business/KYC/bank/product details</x:v>
      </x:c>
      <x:c r="O98" s="21" t="str">
        <x:v>Includes assistance bundle; statutory fees extra.</x:v>
      </x:c>
      <x:c r="P98" s="21" t="str"/>
    </x:row>
    <x:row r="99">
      <x:c r="A99" s="21" t="n">
        <x:v>98</x:v>
      </x:c>
      <x:c r="B99" s="21" t="str">
        <x:v>Student &amp; Career Services</x:v>
      </x:c>
      <x:c r="C99" s="21" t="str">
        <x:v>ABC ID creation assistance</x:v>
      </x:c>
      <x:c r="D99" s="22" t="n">
        <x:v>100</x:v>
      </x:c>
      <x:c r="E99" s="22" t="n">
        <x:v>100</x:v>
      </x:c>
      <x:c r="F99" s="22" t="str">
        <x:v>Fixed</x:v>
      </x:c>
      <x:c r="G99" s="22" t="str">
        <x:v>Extra at actual</x:v>
      </x:c>
      <x:c r="H99" s="22" t="n">
        <x:v>10</x:v>
      </x:c>
      <x:c r="I99" s="22" t="n">
        <x:f>E99-H99</x:f>
        <x:v>90</x:v>
      </x:c>
      <x:c r="J99" s="23" t="n">
        <x:f>IFERROR(I99/E99,0)</x:f>
        <x:v>0.9</x:v>
      </x:c>
      <x:c r="K99" s="21" t="str">
        <x:v>Yes</x:v>
      </x:c>
      <x:c r="L99" s="21" t="str">
        <x:v>Yes</x:v>
      </x:c>
      <x:c r="M99" s="21" t="str">
        <x:v>Same day / depends on portal</x:v>
      </x:c>
      <x:c r="N99" s="21" t="str">
        <x:v>Aadhaar/academic details</x:v>
      </x:c>
      <x:c r="O99" s="21" t="str"/>
      <x:c r="P99" s="21" t="str"/>
    </x:row>
    <x:row r="100">
      <x:c r="A100" s="21" t="n">
        <x:v>99</x:v>
      </x:c>
      <x:c r="B100" s="21" t="str">
        <x:v>Student &amp; Career Services</x:v>
      </x:c>
      <x:c r="C100" s="21" t="str">
        <x:v>FYJC admission form assistance</x:v>
      </x:c>
      <x:c r="D100" s="22" t="n">
        <x:v>250</x:v>
      </x:c>
      <x:c r="E100" s="22" t="n">
        <x:v>250</x:v>
      </x:c>
      <x:c r="F100" s="22" t="str">
        <x:v>Fixed</x:v>
      </x:c>
      <x:c r="G100" s="22" t="str">
        <x:v>Extra at actual</x:v>
      </x:c>
      <x:c r="H100" s="22" t="n">
        <x:v>20</x:v>
      </x:c>
      <x:c r="I100" s="22" t="n">
        <x:f>E100-H100</x:f>
        <x:v>230</x:v>
      </x:c>
      <x:c r="J100" s="23" t="n">
        <x:f>IFERROR(I100/E100,0)</x:f>
        <x:v>0.92</x:v>
      </x:c>
      <x:c r="K100" s="21" t="str">
        <x:v>Yes</x:v>
      </x:c>
      <x:c r="L100" s="21" t="str">
        <x:v>Yes</x:v>
      </x:c>
      <x:c r="M100" s="21" t="str">
        <x:v>Same day / depends on portal</x:v>
      </x:c>
      <x:c r="N100" s="21" t="str">
        <x:v>Student documents + preferences</x:v>
      </x:c>
      <x:c r="O100" s="21" t="str"/>
      <x:c r="P100" s="21" t="str"/>
    </x:row>
    <x:row r="101">
      <x:c r="A101" s="21" t="n">
        <x:v>100</x:v>
      </x:c>
      <x:c r="B101" s="21" t="str">
        <x:v>Student &amp; Career Services</x:v>
      </x:c>
      <x:c r="C101" s="21" t="str">
        <x:v>Mumbai University admission form assistance</x:v>
      </x:c>
      <x:c r="D101" s="22" t="n">
        <x:v>250</x:v>
      </x:c>
      <x:c r="E101" s="22" t="n">
        <x:v>250</x:v>
      </x:c>
      <x:c r="F101" s="22" t="str">
        <x:v>Fixed</x:v>
      </x:c>
      <x:c r="G101" s="22" t="str">
        <x:v>Extra at actual</x:v>
      </x:c>
      <x:c r="H101" s="22" t="n">
        <x:v>20</x:v>
      </x:c>
      <x:c r="I101" s="22" t="n">
        <x:f>E101-H101</x:f>
        <x:v>230</x:v>
      </x:c>
      <x:c r="J101" s="23" t="n">
        <x:f>IFERROR(I101/E101,0)</x:f>
        <x:v>0.92</x:v>
      </x:c>
      <x:c r="K101" s="21" t="str">
        <x:v>Yes</x:v>
      </x:c>
      <x:c r="L101" s="21" t="str">
        <x:v>Yes</x:v>
      </x:c>
      <x:c r="M101" s="21" t="str">
        <x:v>Same day / depends on portal</x:v>
      </x:c>
      <x:c r="N101" s="21" t="str">
        <x:v>Student/academic documents</x:v>
      </x:c>
      <x:c r="O101" s="21" t="str"/>
      <x:c r="P101" s="21" t="str"/>
    </x:row>
    <x:row r="102">
      <x:c r="A102" s="21" t="n">
        <x:v>101</x:v>
      </x:c>
      <x:c r="B102" s="21" t="str">
        <x:v>Student &amp; Career Services</x:v>
      </x:c>
      <x:c r="C102" s="21" t="str">
        <x:v>College admission form assistance</x:v>
      </x:c>
      <x:c r="D102" s="22" t="n">
        <x:v>250</x:v>
      </x:c>
      <x:c r="E102" s="22" t="n">
        <x:v>250</x:v>
      </x:c>
      <x:c r="F102" s="22" t="str">
        <x:v>Fixed</x:v>
      </x:c>
      <x:c r="G102" s="22" t="str">
        <x:v>Extra at actual</x:v>
      </x:c>
      <x:c r="H102" s="22" t="n">
        <x:v>20</x:v>
      </x:c>
      <x:c r="I102" s="22" t="n">
        <x:f>E102-H102</x:f>
        <x:v>230</x:v>
      </x:c>
      <x:c r="J102" s="23" t="n">
        <x:f>IFERROR(I102/E102,0)</x:f>
        <x:v>0.92</x:v>
      </x:c>
      <x:c r="K102" s="21" t="str">
        <x:v>Yes</x:v>
      </x:c>
      <x:c r="L102" s="21" t="str">
        <x:v>Yes</x:v>
      </x:c>
      <x:c r="M102" s="21" t="str">
        <x:v>Same day / depends on portal</x:v>
      </x:c>
      <x:c r="N102" s="21" t="str">
        <x:v>Student/academic documents</x:v>
      </x:c>
      <x:c r="O102" s="21" t="str"/>
      <x:c r="P102" s="21" t="str"/>
    </x:row>
    <x:row r="103">
      <x:c r="A103" s="21" t="n">
        <x:v>102</x:v>
      </x:c>
      <x:c r="B103" s="21" t="str">
        <x:v>Student &amp; Career Services</x:v>
      </x:c>
      <x:c r="C103" s="21" t="str">
        <x:v>Scholarship application assistance</x:v>
      </x:c>
      <x:c r="D103" s="22" t="n">
        <x:v>300</x:v>
      </x:c>
      <x:c r="E103" s="22" t="n">
        <x:v>300</x:v>
      </x:c>
      <x:c r="F103" s="22" t="str">
        <x:v>Starting from</x:v>
      </x:c>
      <x:c r="G103" s="22" t="str">
        <x:v>Extra at actual</x:v>
      </x:c>
      <x:c r="H103" s="22" t="n">
        <x:v>30</x:v>
      </x:c>
      <x:c r="I103" s="22" t="n">
        <x:f>E103-H103</x:f>
        <x:v>270</x:v>
      </x:c>
      <x:c r="J103" s="23" t="n">
        <x:f>IFERROR(I103/E103,0)</x:f>
        <x:v>0.9</x:v>
      </x:c>
      <x:c r="K103" s="21" t="str">
        <x:v>Yes</x:v>
      </x:c>
      <x:c r="L103" s="21" t="str">
        <x:v>Yes</x:v>
      </x:c>
      <x:c r="M103" s="21" t="str">
        <x:v>Same day / depends on portal</x:v>
      </x:c>
      <x:c r="N103" s="21" t="str">
        <x:v>Student + income/category/bank documents</x:v>
      </x:c>
      <x:c r="O103" s="21" t="str"/>
      <x:c r="P103" s="21" t="str"/>
    </x:row>
    <x:row r="104">
      <x:c r="A104" s="21" t="n">
        <x:v>103</x:v>
      </x:c>
      <x:c r="B104" s="21" t="str">
        <x:v>Student &amp; Career Services</x:v>
      </x:c>
      <x:c r="C104" s="21" t="str">
        <x:v>Competitive exam application assistance</x:v>
      </x:c>
      <x:c r="D104" s="22" t="n">
        <x:v>250</x:v>
      </x:c>
      <x:c r="E104" s="22" t="n">
        <x:v>250</x:v>
      </x:c>
      <x:c r="F104" s="22" t="str">
        <x:v>Fixed</x:v>
      </x:c>
      <x:c r="G104" s="22" t="str">
        <x:v>Extra at actual</x:v>
      </x:c>
      <x:c r="H104" s="22" t="n">
        <x:v>25</x:v>
      </x:c>
      <x:c r="I104" s="22" t="n">
        <x:f>E104-H104</x:f>
        <x:v>225</x:v>
      </x:c>
      <x:c r="J104" s="23" t="n">
        <x:f>IFERROR(I104/E104,0)</x:f>
        <x:v>0.9</x:v>
      </x:c>
      <x:c r="K104" s="21" t="str">
        <x:v>Yes</x:v>
      </x:c>
      <x:c r="L104" s="21" t="str">
        <x:v>Yes</x:v>
      </x:c>
      <x:c r="M104" s="21" t="str">
        <x:v>Same day / depends on portal</x:v>
      </x:c>
      <x:c r="N104" s="21" t="str">
        <x:v>Applicant documents + photo/signature</x:v>
      </x:c>
      <x:c r="O104" s="21" t="str"/>
      <x:c r="P104" s="21" t="str"/>
    </x:row>
    <x:row r="105">
      <x:c r="A105" s="21" t="n">
        <x:v>104</x:v>
      </x:c>
      <x:c r="B105" s="21" t="str">
        <x:v>Student &amp; Career Services</x:v>
      </x:c>
      <x:c r="C105" s="21" t="str">
        <x:v>Government job application assistance</x:v>
      </x:c>
      <x:c r="D105" s="22" t="n">
        <x:v>250</x:v>
      </x:c>
      <x:c r="E105" s="22" t="n">
        <x:v>250</x:v>
      </x:c>
      <x:c r="F105" s="22" t="str">
        <x:v>Fixed</x:v>
      </x:c>
      <x:c r="G105" s="22" t="str">
        <x:v>Extra at actual</x:v>
      </x:c>
      <x:c r="H105" s="22" t="n">
        <x:v>25</x:v>
      </x:c>
      <x:c r="I105" s="22" t="n">
        <x:f>E105-H105</x:f>
        <x:v>225</x:v>
      </x:c>
      <x:c r="J105" s="23" t="n">
        <x:f>IFERROR(I105/E105,0)</x:f>
        <x:v>0.9</x:v>
      </x:c>
      <x:c r="K105" s="21" t="str">
        <x:v>Yes</x:v>
      </x:c>
      <x:c r="L105" s="21" t="str">
        <x:v>Yes</x:v>
      </x:c>
      <x:c r="M105" s="21" t="str">
        <x:v>Same day / depends on portal</x:v>
      </x:c>
      <x:c r="N105" s="21" t="str">
        <x:v>Applicant documents</x:v>
      </x:c>
      <x:c r="O105" s="21" t="str"/>
      <x:c r="P105" s="21" t="str"/>
    </x:row>
    <x:row r="106">
      <x:c r="A106" s="21" t="n">
        <x:v>105</x:v>
      </x:c>
      <x:c r="B106" s="21" t="str">
        <x:v>Student &amp; Career Services</x:v>
      </x:c>
      <x:c r="C106" s="21" t="str">
        <x:v>Private job online application assistance</x:v>
      </x:c>
      <x:c r="D106" s="22" t="n">
        <x:v>150</x:v>
      </x:c>
      <x:c r="E106" s="22" t="n">
        <x:v>150</x:v>
      </x:c>
      <x:c r="F106" s="22" t="str">
        <x:v>Fixed</x:v>
      </x:c>
      <x:c r="G106" s="22" t="str">
        <x:v>Extra at actual</x:v>
      </x:c>
      <x:c r="H106" s="22" t="n">
        <x:v>15</x:v>
      </x:c>
      <x:c r="I106" s="22" t="n">
        <x:f>E106-H106</x:f>
        <x:v>135</x:v>
      </x:c>
      <x:c r="J106" s="23" t="n">
        <x:f>IFERROR(I106/E106,0)</x:f>
        <x:v>0.9</x:v>
      </x:c>
      <x:c r="K106" s="21" t="str">
        <x:v>Yes</x:v>
      </x:c>
      <x:c r="L106" s="21" t="str">
        <x:v>No</x:v>
      </x:c>
      <x:c r="M106" s="21" t="str">
        <x:v>Same day / depends on portal</x:v>
      </x:c>
      <x:c r="N106" s="21" t="str">
        <x:v>Resume + application information</x:v>
      </x:c>
      <x:c r="O106" s="21" t="str"/>
      <x:c r="P106" s="21" t="str"/>
    </x:row>
    <x:row r="107">
      <x:c r="A107" s="21" t="n">
        <x:v>106</x:v>
      </x:c>
      <x:c r="B107" s="21" t="str">
        <x:v>Student &amp; Career Services</x:v>
      </x:c>
      <x:c r="C107" s="21" t="str">
        <x:v>Basic resume creation</x:v>
      </x:c>
      <x:c r="D107" s="22" t="n">
        <x:v>300</x:v>
      </x:c>
      <x:c r="E107" s="22" t="n">
        <x:v>300</x:v>
      </x:c>
      <x:c r="F107" s="22" t="str">
        <x:v>Fixed</x:v>
      </x:c>
      <x:c r="G107" s="22" t="str">
        <x:v>Extra at actual</x:v>
      </x:c>
      <x:c r="H107" s="22" t="n">
        <x:v>25</x:v>
      </x:c>
      <x:c r="I107" s="22" t="n">
        <x:f>E107-H107</x:f>
        <x:v>275</x:v>
      </x:c>
      <x:c r="J107" s="23" t="n">
        <x:f>IFERROR(I107/E107,0)</x:f>
        <x:v>0.9166666666666666</x:v>
      </x:c>
      <x:c r="K107" s="21" t="str">
        <x:v>Yes</x:v>
      </x:c>
      <x:c r="L107" s="21" t="str">
        <x:v>No</x:v>
      </x:c>
      <x:c r="M107" s="21" t="str">
        <x:v>Same day / depends on portal</x:v>
      </x:c>
      <x:c r="N107" s="21" t="str">
        <x:v>Career/education/work details</x:v>
      </x:c>
      <x:c r="O107" s="21" t="str"/>
      <x:c r="P107" s="21" t="str"/>
    </x:row>
    <x:row r="108">
      <x:c r="A108" s="21" t="n">
        <x:v>107</x:v>
      </x:c>
      <x:c r="B108" s="21" t="str">
        <x:v>Student &amp; Career Services</x:v>
      </x:c>
      <x:c r="C108" s="21" t="str">
        <x:v>Professional resume creation</x:v>
      </x:c>
      <x:c r="D108" s="22" t="n">
        <x:v>500</x:v>
      </x:c>
      <x:c r="E108" s="22" t="n">
        <x:v>500</x:v>
      </x:c>
      <x:c r="F108" s="22" t="str">
        <x:v>Fixed</x:v>
      </x:c>
      <x:c r="G108" s="22" t="str">
        <x:v>Extra at actual</x:v>
      </x:c>
      <x:c r="H108" s="22" t="n">
        <x:v>40</x:v>
      </x:c>
      <x:c r="I108" s="22" t="n">
        <x:f>E108-H108</x:f>
        <x:v>460</x:v>
      </x:c>
      <x:c r="J108" s="23" t="n">
        <x:f>IFERROR(I108/E108,0)</x:f>
        <x:v>0.92</x:v>
      </x:c>
      <x:c r="K108" s="21" t="str">
        <x:v>Yes</x:v>
      </x:c>
      <x:c r="L108" s="21" t="str">
        <x:v>No</x:v>
      </x:c>
      <x:c r="M108" s="21" t="str">
        <x:v>Same day / depends on portal</x:v>
      </x:c>
      <x:c r="N108" s="21" t="str">
        <x:v>Career/education/work details</x:v>
      </x:c>
      <x:c r="O108" s="21" t="str"/>
      <x:c r="P108" s="21" t="str"/>
    </x:row>
    <x:row r="109">
      <x:c r="A109" s="21" t="n">
        <x:v>108</x:v>
      </x:c>
      <x:c r="B109" s="21" t="str">
        <x:v>Student &amp; Career Services</x:v>
      </x:c>
      <x:c r="C109" s="21" t="str">
        <x:v>ATS-optimized resume</x:v>
      </x:c>
      <x:c r="D109" s="22" t="n">
        <x:v>700</x:v>
      </x:c>
      <x:c r="E109" s="22" t="n">
        <x:v>700</x:v>
      </x:c>
      <x:c r="F109" s="22" t="str">
        <x:v>Fixed</x:v>
      </x:c>
      <x:c r="G109" s="22" t="str">
        <x:v>Extra at actual</x:v>
      </x:c>
      <x:c r="H109" s="22" t="n">
        <x:v>60</x:v>
      </x:c>
      <x:c r="I109" s="22" t="n">
        <x:f>E109-H109</x:f>
        <x:v>640</x:v>
      </x:c>
      <x:c r="J109" s="23" t="n">
        <x:f>IFERROR(I109/E109,0)</x:f>
        <x:v>0.9142857142857143</x:v>
      </x:c>
      <x:c r="K109" s="21" t="str">
        <x:v>Yes</x:v>
      </x:c>
      <x:c r="L109" s="21" t="str">
        <x:v>No</x:v>
      </x:c>
      <x:c r="M109" s="21" t="str">
        <x:v>Same day / depends on portal</x:v>
      </x:c>
      <x:c r="N109" s="21" t="str">
        <x:v>Target role + career details</x:v>
      </x:c>
      <x:c r="O109" s="21" t="str"/>
      <x:c r="P109" s="21" t="str"/>
    </x:row>
    <x:row r="110">
      <x:c r="A110" s="21" t="n">
        <x:v>109</x:v>
      </x:c>
      <x:c r="B110" s="21" t="str">
        <x:v>Student &amp; Career Services</x:v>
      </x:c>
      <x:c r="C110" s="21" t="str">
        <x:v>Resume + cover letter package</x:v>
      </x:c>
      <x:c r="D110" s="22" t="n">
        <x:v>850</x:v>
      </x:c>
      <x:c r="E110" s="22" t="n">
        <x:v>850</x:v>
      </x:c>
      <x:c r="F110" s="22" t="str">
        <x:v>Fixed</x:v>
      </x:c>
      <x:c r="G110" s="22" t="str">
        <x:v>Extra at actual</x:v>
      </x:c>
      <x:c r="H110" s="22" t="n">
        <x:v>70</x:v>
      </x:c>
      <x:c r="I110" s="22" t="n">
        <x:f>E110-H110</x:f>
        <x:v>780</x:v>
      </x:c>
      <x:c r="J110" s="23" t="n">
        <x:f>IFERROR(I110/E110,0)</x:f>
        <x:v>0.9176470588235294</x:v>
      </x:c>
      <x:c r="K110" s="21" t="str">
        <x:v>Yes</x:v>
      </x:c>
      <x:c r="L110" s="21" t="str">
        <x:v>No</x:v>
      </x:c>
      <x:c r="M110" s="21" t="str">
        <x:v>Same day / depends on portal</x:v>
      </x:c>
      <x:c r="N110" s="21" t="str">
        <x:v>Target role + career details</x:v>
      </x:c>
      <x:c r="O110" s="21" t="str"/>
      <x:c r="P110" s="21" t="str"/>
    </x:row>
    <x:row r="111">
      <x:c r="A111" s="21" t="n">
        <x:v>110</x:v>
      </x:c>
      <x:c r="B111" s="21" t="str">
        <x:v>Student &amp; Career Services</x:v>
      </x:c>
      <x:c r="C111" s="21" t="str">
        <x:v>LinkedIn profile optimization</x:v>
      </x:c>
      <x:c r="D111" s="22" t="n">
        <x:v>700</x:v>
      </x:c>
      <x:c r="E111" s="22" t="n">
        <x:v>700</x:v>
      </x:c>
      <x:c r="F111" s="22" t="str">
        <x:v>Fixed</x:v>
      </x:c>
      <x:c r="G111" s="22" t="str">
        <x:v>Extra at actual</x:v>
      </x:c>
      <x:c r="H111" s="22" t="n">
        <x:v>60</x:v>
      </x:c>
      <x:c r="I111" s="22" t="n">
        <x:f>E111-H111</x:f>
        <x:v>640</x:v>
      </x:c>
      <x:c r="J111" s="23" t="n">
        <x:f>IFERROR(I111/E111,0)</x:f>
        <x:v>0.9142857142857143</x:v>
      </x:c>
      <x:c r="K111" s="21" t="str">
        <x:v>Yes</x:v>
      </x:c>
      <x:c r="L111" s="21" t="str">
        <x:v>No</x:v>
      </x:c>
      <x:c r="M111" s="21" t="str">
        <x:v>Same day / depends on portal</x:v>
      </x:c>
      <x:c r="N111" s="21" t="str">
        <x:v>Current profile + career details</x:v>
      </x:c>
      <x:c r="O111" s="21" t="str"/>
      <x:c r="P111" s="21" t="str"/>
    </x:row>
    <x:row r="112">
      <x:c r="A112" s="21" t="n">
        <x:v>111</x:v>
      </x:c>
      <x:c r="B112" s="21" t="str">
        <x:v>Student &amp; Career Services</x:v>
      </x:c>
      <x:c r="C112" s="21" t="str">
        <x:v>Resume + LinkedIn package</x:v>
      </x:c>
      <x:c r="D112" s="22" t="n">
        <x:v>1200</x:v>
      </x:c>
      <x:c r="E112" s="22" t="n">
        <x:v>1200</x:v>
      </x:c>
      <x:c r="F112" s="22" t="str">
        <x:v>Package</x:v>
      </x:c>
      <x:c r="G112" s="22" t="str">
        <x:v>Extra at actual</x:v>
      </x:c>
      <x:c r="H112" s="22" t="n">
        <x:v>100</x:v>
      </x:c>
      <x:c r="I112" s="22" t="n">
        <x:f>E112-H112</x:f>
        <x:v>1100</x:v>
      </x:c>
      <x:c r="J112" s="23" t="n">
        <x:f>IFERROR(I112/E112,0)</x:f>
        <x:v>0.9166666666666666</x:v>
      </x:c>
      <x:c r="K112" s="21" t="str">
        <x:v>Yes</x:v>
      </x:c>
      <x:c r="L112" s="21" t="str">
        <x:v>No</x:v>
      </x:c>
      <x:c r="M112" s="21" t="str">
        <x:v>Same day / depends on portal</x:v>
      </x:c>
      <x:c r="N112" s="21" t="str">
        <x:v>Career details + target roles</x:v>
      </x:c>
      <x:c r="O112" s="21" t="str"/>
      <x:c r="P112" s="21" t="str"/>
    </x:row>
    <x:row r="113">
      <x:c r="A113" s="21" t="n">
        <x:v>112</x:v>
      </x:c>
      <x:c r="B113" s="21" t="str">
        <x:v>Student &amp; Career Services</x:v>
      </x:c>
      <x:c r="C113" s="21" t="str">
        <x:v>Statement of Purpose / scholarship essay</x:v>
      </x:c>
      <x:c r="D113" s="22" t="n">
        <x:v>800</x:v>
      </x:c>
      <x:c r="E113" s="22" t="n">
        <x:v>800</x:v>
      </x:c>
      <x:c r="F113" s="22" t="str">
        <x:v>Starting from</x:v>
      </x:c>
      <x:c r="G113" s="22" t="str">
        <x:v>Extra at actual</x:v>
      </x:c>
      <x:c r="H113" s="22" t="n">
        <x:v>80</x:v>
      </x:c>
      <x:c r="I113" s="22" t="n">
        <x:f>E113-H113</x:f>
        <x:v>720</x:v>
      </x:c>
      <x:c r="J113" s="23" t="n">
        <x:f>IFERROR(I113/E113,0)</x:f>
        <x:v>0.9</x:v>
      </x:c>
      <x:c r="K113" s="21" t="str">
        <x:v>Yes</x:v>
      </x:c>
      <x:c r="L113" s="21" t="str">
        <x:v>No</x:v>
      </x:c>
      <x:c r="M113" s="21" t="str">
        <x:v>Same day / depends on portal</x:v>
      </x:c>
      <x:c r="N113" s="21" t="str">
        <x:v>Course/university/background details</x:v>
      </x:c>
      <x:c r="O113" s="21" t="str"/>
      <x:c r="P113" s="21" t="str"/>
    </x:row>
    <x:row r="114">
      <x:c r="A114" s="21" t="n">
        <x:v>113</x:v>
      </x:c>
      <x:c r="B114" s="21" t="str">
        <x:v>Student &amp; Career Services</x:v>
      </x:c>
      <x:c r="C114" s="21" t="str">
        <x:v>Document scan/resize/upload package</x:v>
      </x:c>
      <x:c r="D114" s="22" t="n">
        <x:v>100</x:v>
      </x:c>
      <x:c r="E114" s="22" t="n">
        <x:v>100</x:v>
      </x:c>
      <x:c r="F114" s="22" t="str">
        <x:v>Starting from</x:v>
      </x:c>
      <x:c r="G114" s="22" t="str">
        <x:v>Extra at actual</x:v>
      </x:c>
      <x:c r="H114" s="22" t="n">
        <x:v>20</x:v>
      </x:c>
      <x:c r="I114" s="22" t="n">
        <x:f>E114-H114</x:f>
        <x:v>80</x:v>
      </x:c>
      <x:c r="J114" s="23" t="n">
        <x:f>IFERROR(I114/E114,0)</x:f>
        <x:v>0.8</x:v>
      </x:c>
      <x:c r="K114" s="21" t="str">
        <x:v>Yes</x:v>
      </x:c>
      <x:c r="L114" s="21" t="str">
        <x:v>No</x:v>
      </x:c>
      <x:c r="M114" s="21" t="str">
        <x:v>Same day / depends on portal</x:v>
      </x:c>
      <x:c r="N114" s="21" t="str">
        <x:v>Documents + portal specifications</x:v>
      </x:c>
      <x:c r="O114" s="21" t="str"/>
      <x:c r="P114" s="21" t="str"/>
    </x:row>
    <x:row r="115">
      <x:c r="A115" s="21" t="n">
        <x:v>114</x:v>
      </x:c>
      <x:c r="B115" s="21" t="str">
        <x:v>Design &amp; Business Growth</x:v>
      </x:c>
      <x:c r="C115" s="21" t="str">
        <x:v>Simple social media poster</x:v>
      </x:c>
      <x:c r="D115" s="22" t="n">
        <x:v>300</x:v>
      </x:c>
      <x:c r="E115" s="22" t="n">
        <x:v>300</x:v>
      </x:c>
      <x:c r="F115" s="22" t="str">
        <x:v>Per creative</x:v>
      </x:c>
      <x:c r="G115" s="22" t="str">
        <x:v>Extra at actual</x:v>
      </x:c>
      <x:c r="H115" s="22" t="n">
        <x:v>30</x:v>
      </x:c>
      <x:c r="I115" s="22" t="n">
        <x:f>E115-H115</x:f>
        <x:v>270</x:v>
      </x:c>
      <x:c r="J115" s="23" t="n">
        <x:f>IFERROR(I115/E115,0)</x:f>
        <x:v>0.9</x:v>
      </x:c>
      <x:c r="K115" s="21" t="str">
        <x:v>Yes</x:v>
      </x:c>
      <x:c r="L115" s="21" t="str">
        <x:v>No</x:v>
      </x:c>
      <x:c r="M115" s="21" t="str">
        <x:v>Same day / depends on portal</x:v>
      </x:c>
      <x:c r="N115" s="21" t="str">
        <x:v>Offer/text/logo/photos</x:v>
      </x:c>
      <x:c r="O115" s="21" t="str"/>
      <x:c r="P115" s="21" t="str"/>
    </x:row>
    <x:row r="116">
      <x:c r="A116" s="21" t="n">
        <x:v>115</x:v>
      </x:c>
      <x:c r="B116" s="21" t="str">
        <x:v>Design &amp; Business Growth</x:v>
      </x:c>
      <x:c r="C116" s="21" t="str">
        <x:v>Premium social media poster</x:v>
      </x:c>
      <x:c r="D116" s="22" t="n">
        <x:v>500</x:v>
      </x:c>
      <x:c r="E116" s="22" t="n">
        <x:v>500</x:v>
      </x:c>
      <x:c r="F116" s="22" t="str">
        <x:v>Per creative</x:v>
      </x:c>
      <x:c r="G116" s="22" t="str">
        <x:v>Extra at actual</x:v>
      </x:c>
      <x:c r="H116" s="22" t="n">
        <x:v>50</x:v>
      </x:c>
      <x:c r="I116" s="22" t="n">
        <x:f>E116-H116</x:f>
        <x:v>450</x:v>
      </x:c>
      <x:c r="J116" s="23" t="n">
        <x:f>IFERROR(I116/E116,0)</x:f>
        <x:v>0.9</x:v>
      </x:c>
      <x:c r="K116" s="21" t="str">
        <x:v>Yes</x:v>
      </x:c>
      <x:c r="L116" s="21" t="str">
        <x:v>No</x:v>
      </x:c>
      <x:c r="M116" s="21" t="str">
        <x:v>Same day / depends on portal</x:v>
      </x:c>
      <x:c r="N116" s="21" t="str">
        <x:v>Offer/text/logo/photos</x:v>
      </x:c>
      <x:c r="O116" s="21" t="str"/>
      <x:c r="P116" s="21" t="str"/>
    </x:row>
    <x:row r="117">
      <x:c r="A117" s="21" t="n">
        <x:v>116</x:v>
      </x:c>
      <x:c r="B117" s="21" t="str">
        <x:v>Design &amp; Business Growth</x:v>
      </x:c>
      <x:c r="C117" s="21" t="str">
        <x:v>Festival social post</x:v>
      </x:c>
      <x:c r="D117" s="22" t="n">
        <x:v>250</x:v>
      </x:c>
      <x:c r="E117" s="22" t="n">
        <x:v>250</x:v>
      </x:c>
      <x:c r="F117" s="22" t="str">
        <x:v>Per creative</x:v>
      </x:c>
      <x:c r="G117" s="22" t="str">
        <x:v>Extra at actual</x:v>
      </x:c>
      <x:c r="H117" s="22" t="n">
        <x:v>25</x:v>
      </x:c>
      <x:c r="I117" s="22" t="n">
        <x:f>E117-H117</x:f>
        <x:v>225</x:v>
      </x:c>
      <x:c r="J117" s="23" t="n">
        <x:f>IFERROR(I117/E117,0)</x:f>
        <x:v>0.9</x:v>
      </x:c>
      <x:c r="K117" s="21" t="str">
        <x:v>Yes</x:v>
      </x:c>
      <x:c r="L117" s="21" t="str">
        <x:v>No</x:v>
      </x:c>
      <x:c r="M117" s="21" t="str">
        <x:v>Same day / depends on portal</x:v>
      </x:c>
      <x:c r="N117" s="21" t="str">
        <x:v>Business details/logo</x:v>
      </x:c>
      <x:c r="O117" s="21" t="str"/>
      <x:c r="P117" s="21" t="str"/>
    </x:row>
    <x:row r="118">
      <x:c r="A118" s="21" t="n">
        <x:v>117</x:v>
      </x:c>
      <x:c r="B118" s="21" t="str">
        <x:v>Design &amp; Business Growth</x:v>
      </x:c>
      <x:c r="C118" s="21" t="str">
        <x:v>Visiting card design</x:v>
      </x:c>
      <x:c r="D118" s="22" t="n">
        <x:v>500</x:v>
      </x:c>
      <x:c r="E118" s="22" t="n">
        <x:v>500</x:v>
      </x:c>
      <x:c r="F118" s="22" t="str">
        <x:v>Fixed</x:v>
      </x:c>
      <x:c r="G118" s="22" t="str">
        <x:v>Extra at actual</x:v>
      </x:c>
      <x:c r="H118" s="22" t="n">
        <x:v>40</x:v>
      </x:c>
      <x:c r="I118" s="22" t="n">
        <x:f>E118-H118</x:f>
        <x:v>460</x:v>
      </x:c>
      <x:c r="J118" s="23" t="n">
        <x:f>IFERROR(I118/E118,0)</x:f>
        <x:v>0.92</x:v>
      </x:c>
      <x:c r="K118" s="21" t="str">
        <x:v>Yes</x:v>
      </x:c>
      <x:c r="L118" s="21" t="str">
        <x:v>No</x:v>
      </x:c>
      <x:c r="M118" s="21" t="str">
        <x:v>Same day / depends on portal</x:v>
      </x:c>
      <x:c r="N118" s="21" t="str">
        <x:v>Business/contact details</x:v>
      </x:c>
      <x:c r="O118" s="21" t="str"/>
      <x:c r="P118" s="21" t="str"/>
    </x:row>
    <x:row r="119">
      <x:c r="A119" s="21" t="n">
        <x:v>118</x:v>
      </x:c>
      <x:c r="B119" s="21" t="str">
        <x:v>Design &amp; Business Growth</x:v>
      </x:c>
      <x:c r="C119" s="21" t="str">
        <x:v>Letterhead design</x:v>
      </x:c>
      <x:c r="D119" s="22" t="n">
        <x:v>400</x:v>
      </x:c>
      <x:c r="E119" s="22" t="n">
        <x:v>400</x:v>
      </x:c>
      <x:c r="F119" s="22" t="str">
        <x:v>Fixed</x:v>
      </x:c>
      <x:c r="G119" s="22" t="str">
        <x:v>Extra at actual</x:v>
      </x:c>
      <x:c r="H119" s="22" t="n">
        <x:v>35</x:v>
      </x:c>
      <x:c r="I119" s="22" t="n">
        <x:f>E119-H119</x:f>
        <x:v>365</x:v>
      </x:c>
      <x:c r="J119" s="23" t="n">
        <x:f>IFERROR(I119/E119,0)</x:f>
        <x:v>0.9125</x:v>
      </x:c>
      <x:c r="K119" s="21" t="str">
        <x:v>Yes</x:v>
      </x:c>
      <x:c r="L119" s="21" t="str">
        <x:v>No</x:v>
      </x:c>
      <x:c r="M119" s="21" t="str">
        <x:v>Same day / depends on portal</x:v>
      </x:c>
      <x:c r="N119" s="21" t="str">
        <x:v>Business/contact details</x:v>
      </x:c>
      <x:c r="O119" s="21" t="str"/>
      <x:c r="P119" s="21" t="str"/>
    </x:row>
    <x:row r="120">
      <x:c r="A120" s="21" t="n">
        <x:v>119</x:v>
      </x:c>
      <x:c r="B120" s="21" t="str">
        <x:v>Design &amp; Business Growth</x:v>
      </x:c>
      <x:c r="C120" s="21" t="str">
        <x:v>Invoice / challan / bill-book design</x:v>
      </x:c>
      <x:c r="D120" s="22" t="n">
        <x:v>500</x:v>
      </x:c>
      <x:c r="E120" s="22" t="n">
        <x:v>500</x:v>
      </x:c>
      <x:c r="F120" s="22" t="str">
        <x:v>Starting from</x:v>
      </x:c>
      <x:c r="G120" s="22" t="str">
        <x:v>Extra at actual</x:v>
      </x:c>
      <x:c r="H120" s="22" t="n">
        <x:v>45</x:v>
      </x:c>
      <x:c r="I120" s="22" t="n">
        <x:f>E120-H120</x:f>
        <x:v>455</x:v>
      </x:c>
      <x:c r="J120" s="23" t="n">
        <x:f>IFERROR(I120/E120,0)</x:f>
        <x:v>0.91</x:v>
      </x:c>
      <x:c r="K120" s="21" t="str">
        <x:v>Yes</x:v>
      </x:c>
      <x:c r="L120" s="21" t="str">
        <x:v>No</x:v>
      </x:c>
      <x:c r="M120" s="21" t="str">
        <x:v>Same day / depends on portal</x:v>
      </x:c>
      <x:c r="N120" s="21" t="str">
        <x:v>Business fields + branding</x:v>
      </x:c>
      <x:c r="O120" s="21" t="str"/>
      <x:c r="P120" s="21" t="str"/>
    </x:row>
    <x:row r="121">
      <x:c r="A121" s="21" t="n">
        <x:v>120</x:v>
      </x:c>
      <x:c r="B121" s="21" t="str">
        <x:v>Design &amp; Business Growth</x:v>
      </x:c>
      <x:c r="C121" s="21" t="str">
        <x:v>Shop board / banner design</x:v>
      </x:c>
      <x:c r="D121" s="22" t="n">
        <x:v>700</x:v>
      </x:c>
      <x:c r="E121" s="22" t="n">
        <x:v>700</x:v>
      </x:c>
      <x:c r="F121" s="22" t="str">
        <x:v>Starting from</x:v>
      </x:c>
      <x:c r="G121" s="22" t="str">
        <x:v>Extra at actual</x:v>
      </x:c>
      <x:c r="H121" s="22" t="n">
        <x:v>70</x:v>
      </x:c>
      <x:c r="I121" s="22" t="n">
        <x:f>E121-H121</x:f>
        <x:v>630</x:v>
      </x:c>
      <x:c r="J121" s="23" t="n">
        <x:f>IFERROR(I121/E121,0)</x:f>
        <x:v>0.9</x:v>
      </x:c>
      <x:c r="K121" s="21" t="str">
        <x:v>Yes</x:v>
      </x:c>
      <x:c r="L121" s="21" t="str">
        <x:v>No</x:v>
      </x:c>
      <x:c r="M121" s="21" t="str">
        <x:v>Same day / depends on portal</x:v>
      </x:c>
      <x:c r="N121" s="21" t="str">
        <x:v>Size + business details + logo</x:v>
      </x:c>
      <x:c r="O121" s="21" t="str"/>
      <x:c r="P121" s="21" t="str"/>
    </x:row>
    <x:row r="122">
      <x:c r="A122" s="21" t="n">
        <x:v>121</x:v>
      </x:c>
      <x:c r="B122" s="21" t="str">
        <x:v>Design &amp; Business Growth</x:v>
      </x:c>
      <x:c r="C122" s="21" t="str">
        <x:v>Basic logo design</x:v>
      </x:c>
      <x:c r="D122" s="22" t="n">
        <x:v>1000</x:v>
      </x:c>
      <x:c r="E122" s="22" t="n">
        <x:v>1000</x:v>
      </x:c>
      <x:c r="F122" s="22" t="str">
        <x:v>Starting from</x:v>
      </x:c>
      <x:c r="G122" s="22" t="str">
        <x:v>Extra at actual</x:v>
      </x:c>
      <x:c r="H122" s="22" t="n">
        <x:v>100</x:v>
      </x:c>
      <x:c r="I122" s="22" t="n">
        <x:f>E122-H122</x:f>
        <x:v>900</x:v>
      </x:c>
      <x:c r="J122" s="23" t="n">
        <x:f>IFERROR(I122/E122,0)</x:f>
        <x:v>0.9</x:v>
      </x:c>
      <x:c r="K122" s="21" t="str">
        <x:v>Yes</x:v>
      </x:c>
      <x:c r="L122" s="21" t="str">
        <x:v>No</x:v>
      </x:c>
      <x:c r="M122" s="21" t="str">
        <x:v>Same day / depends on portal</x:v>
      </x:c>
      <x:c r="N122" s="21" t="str">
        <x:v>Business name + preferences</x:v>
      </x:c>
      <x:c r="O122" s="21" t="str"/>
      <x:c r="P122" s="21" t="str"/>
    </x:row>
    <x:row r="123">
      <x:c r="A123" s="21" t="n">
        <x:v>122</x:v>
      </x:c>
      <x:c r="B123" s="21" t="str">
        <x:v>Design &amp; Business Growth</x:v>
      </x:c>
      <x:c r="C123" s="21" t="str">
        <x:v>Professional logo + mini brand kit</x:v>
      </x:c>
      <x:c r="D123" s="22" t="n">
        <x:v>1800</x:v>
      </x:c>
      <x:c r="E123" s="22" t="n">
        <x:v>1800</x:v>
      </x:c>
      <x:c r="F123" s="22" t="str">
        <x:v>Starting from</x:v>
      </x:c>
      <x:c r="G123" s="22" t="str">
        <x:v>Extra at actual</x:v>
      </x:c>
      <x:c r="H123" s="22" t="n">
        <x:v>160</x:v>
      </x:c>
      <x:c r="I123" s="22" t="n">
        <x:f>E123-H123</x:f>
        <x:v>1640</x:v>
      </x:c>
      <x:c r="J123" s="23" t="n">
        <x:f>IFERROR(I123/E123,0)</x:f>
        <x:v>0.9111111111111111</x:v>
      </x:c>
      <x:c r="K123" s="21" t="str">
        <x:v>Yes</x:v>
      </x:c>
      <x:c r="L123" s="21" t="str">
        <x:v>No</x:v>
      </x:c>
      <x:c r="M123" s="21" t="str">
        <x:v>Same day / depends on portal</x:v>
      </x:c>
      <x:c r="N123" s="21" t="str">
        <x:v>Business name + preferences</x:v>
      </x:c>
      <x:c r="O123" s="21" t="str"/>
      <x:c r="P123" s="21" t="str"/>
    </x:row>
    <x:row r="124">
      <x:c r="A124" s="21" t="n">
        <x:v>123</x:v>
      </x:c>
      <x:c r="B124" s="21" t="str">
        <x:v>Design &amp; Business Growth</x:v>
      </x:c>
      <x:c r="C124" s="21" t="str">
        <x:v>Brochure design</x:v>
      </x:c>
      <x:c r="D124" s="22" t="n">
        <x:v>1500</x:v>
      </x:c>
      <x:c r="E124" s="22" t="n">
        <x:v>1500</x:v>
      </x:c>
      <x:c r="F124" s="22" t="str">
        <x:v>Starting from</x:v>
      </x:c>
      <x:c r="G124" s="22" t="str">
        <x:v>Extra at actual</x:v>
      </x:c>
      <x:c r="H124" s="22" t="n">
        <x:v>130</x:v>
      </x:c>
      <x:c r="I124" s="22" t="n">
        <x:f>E124-H124</x:f>
        <x:v>1370</x:v>
      </x:c>
      <x:c r="J124" s="23" t="n">
        <x:f>IFERROR(I124/E124,0)</x:f>
        <x:v>0.9133333333333333</x:v>
      </x:c>
      <x:c r="K124" s="21" t="str">
        <x:v>Yes</x:v>
      </x:c>
      <x:c r="L124" s="21" t="str">
        <x:v>No</x:v>
      </x:c>
      <x:c r="M124" s="21" t="str">
        <x:v>Same day / depends on portal</x:v>
      </x:c>
      <x:c r="N124" s="21" t="str">
        <x:v>Business content + photos</x:v>
      </x:c>
      <x:c r="O124" s="21" t="str"/>
      <x:c r="P124" s="21" t="str"/>
    </x:row>
    <x:row r="125">
      <x:c r="A125" s="21" t="n">
        <x:v>124</x:v>
      </x:c>
      <x:c r="B125" s="21" t="str">
        <x:v>Design &amp; Business Growth</x:v>
      </x:c>
      <x:c r="C125" s="21" t="str">
        <x:v>Company profile design &amp; writing</x:v>
      </x:c>
      <x:c r="D125" s="22" t="n">
        <x:v>2500</x:v>
      </x:c>
      <x:c r="E125" s="22" t="n">
        <x:v>2500</x:v>
      </x:c>
      <x:c r="F125" s="22" t="str">
        <x:v>Starting from</x:v>
      </x:c>
      <x:c r="G125" s="22" t="str">
        <x:v>Extra at actual</x:v>
      </x:c>
      <x:c r="H125" s="22" t="n">
        <x:v>220</x:v>
      </x:c>
      <x:c r="I125" s="22" t="n">
        <x:f>E125-H125</x:f>
        <x:v>2280</x:v>
      </x:c>
      <x:c r="J125" s="23" t="n">
        <x:f>IFERROR(I125/E125,0)</x:f>
        <x:v>0.912</x:v>
      </x:c>
      <x:c r="K125" s="21" t="str">
        <x:v>Yes</x:v>
      </x:c>
      <x:c r="L125" s="21" t="str">
        <x:v>No</x:v>
      </x:c>
      <x:c r="M125" s="21" t="str">
        <x:v>Same day / depends on portal</x:v>
      </x:c>
      <x:c r="N125" s="21" t="str">
        <x:v>Business details + services + photos</x:v>
      </x:c>
      <x:c r="O125" s="21" t="str"/>
      <x:c r="P125" s="21" t="str"/>
    </x:row>
    <x:row r="126">
      <x:c r="A126" s="21" t="n">
        <x:v>125</x:v>
      </x:c>
      <x:c r="B126" s="21" t="str">
        <x:v>Design &amp; Business Growth</x:v>
      </x:c>
      <x:c r="C126" s="21" t="str">
        <x:v>Business proposal document</x:v>
      </x:c>
      <x:c r="D126" s="22" t="n">
        <x:v>1500</x:v>
      </x:c>
      <x:c r="E126" s="22" t="n">
        <x:v>1500</x:v>
      </x:c>
      <x:c r="F126" s="22" t="str">
        <x:v>Starting from</x:v>
      </x:c>
      <x:c r="G126" s="22" t="str">
        <x:v>Extra at actual</x:v>
      </x:c>
      <x:c r="H126" s="22" t="n">
        <x:v>140</x:v>
      </x:c>
      <x:c r="I126" s="22" t="n">
        <x:f>E126-H126</x:f>
        <x:v>1360</x:v>
      </x:c>
      <x:c r="J126" s="23" t="n">
        <x:f>IFERROR(I126/E126,0)</x:f>
        <x:v>0.9066666666666666</x:v>
      </x:c>
      <x:c r="K126" s="21" t="str">
        <x:v>Yes</x:v>
      </x:c>
      <x:c r="L126" s="21" t="str">
        <x:v>No</x:v>
      </x:c>
      <x:c r="M126" s="21" t="str">
        <x:v>Same day / depends on portal</x:v>
      </x:c>
      <x:c r="N126" s="21" t="str">
        <x:v>Proposal objective + business details</x:v>
      </x:c>
      <x:c r="O126" s="21" t="str"/>
      <x:c r="P126" s="21" t="str"/>
    </x:row>
    <x:row r="127">
      <x:c r="A127" s="21" t="n">
        <x:v>126</x:v>
      </x:c>
      <x:c r="B127" s="21" t="str">
        <x:v>Design &amp; Business Growth</x:v>
      </x:c>
      <x:c r="C127" s="21" t="str">
        <x:v>WhatsApp Business setup &amp; catalogue assistance</x:v>
      </x:c>
      <x:c r="D127" s="22" t="n">
        <x:v>700</x:v>
      </x:c>
      <x:c r="E127" s="22" t="n">
        <x:v>700</x:v>
      </x:c>
      <x:c r="F127" s="22" t="str">
        <x:v>Starting from</x:v>
      </x:c>
      <x:c r="G127" s="22" t="str">
        <x:v>Extra at actual</x:v>
      </x:c>
      <x:c r="H127" s="22" t="n">
        <x:v>50</x:v>
      </x:c>
      <x:c r="I127" s="22" t="n">
        <x:f>E127-H127</x:f>
        <x:v>650</x:v>
      </x:c>
      <x:c r="J127" s="23" t="n">
        <x:f>IFERROR(I127/E127,0)</x:f>
        <x:v>0.9285714285714286</x:v>
      </x:c>
      <x:c r="K127" s="21" t="str">
        <x:v>Yes</x:v>
      </x:c>
      <x:c r="L127" s="21" t="str">
        <x:v>No</x:v>
      </x:c>
      <x:c r="M127" s="21" t="str">
        <x:v>Same day / depends on portal</x:v>
      </x:c>
      <x:c r="N127" s="21" t="str">
        <x:v>Business details + products/services</x:v>
      </x:c>
      <x:c r="O127" s="21" t="str"/>
      <x:c r="P127" s="21" t="str"/>
    </x:row>
    <x:row r="128">
      <x:c r="A128" s="21" t="n">
        <x:v>127</x:v>
      </x:c>
      <x:c r="B128" s="21" t="str">
        <x:v>Design &amp; Business Growth</x:v>
      </x:c>
      <x:c r="C128" s="21" t="str">
        <x:v>Google Business Profile setup assistance</x:v>
      </x:c>
      <x:c r="D128" s="22" t="n">
        <x:v>800</x:v>
      </x:c>
      <x:c r="E128" s="22" t="n">
        <x:v>800</x:v>
      </x:c>
      <x:c r="F128" s="22" t="str">
        <x:v>Starting from</x:v>
      </x:c>
      <x:c r="G128" s="22" t="str">
        <x:v>Extra at actual</x:v>
      </x:c>
      <x:c r="H128" s="22" t="n">
        <x:v>60</x:v>
      </x:c>
      <x:c r="I128" s="22" t="n">
        <x:f>E128-H128</x:f>
        <x:v>740</x:v>
      </x:c>
      <x:c r="J128" s="23" t="n">
        <x:f>IFERROR(I128/E128,0)</x:f>
        <x:v>0.925</x:v>
      </x:c>
      <x:c r="K128" s="21" t="str">
        <x:v>Yes</x:v>
      </x:c>
      <x:c r="L128" s="21" t="str">
        <x:v>Yes</x:v>
      </x:c>
      <x:c r="M128" s="21" t="str">
        <x:v>Same day / depends on portal</x:v>
      </x:c>
      <x:c r="N128" s="21" t="str">
        <x:v>Business details + verification access</x:v>
      </x:c>
      <x:c r="O128" s="21" t="str"/>
      <x:c r="P128" s="21" t="str"/>
    </x:row>
    <x:row r="129">
      <x:c r="A129" s="21" t="n">
        <x:v>128</x:v>
      </x:c>
      <x:c r="B129" s="21" t="str">
        <x:v>Design &amp; Business Growth</x:v>
      </x:c>
      <x:c r="C129" s="21" t="str">
        <x:v>Facebook / Instagram business-page setup</x:v>
      </x:c>
      <x:c r="D129" s="22" t="n">
        <x:v>800</x:v>
      </x:c>
      <x:c r="E129" s="22" t="n">
        <x:v>800</x:v>
      </x:c>
      <x:c r="F129" s="22" t="str">
        <x:v>Starting from</x:v>
      </x:c>
      <x:c r="G129" s="22" t="str">
        <x:v>Extra at actual</x:v>
      </x:c>
      <x:c r="H129" s="22" t="n">
        <x:v>60</x:v>
      </x:c>
      <x:c r="I129" s="22" t="n">
        <x:f>E129-H129</x:f>
        <x:v>740</x:v>
      </x:c>
      <x:c r="J129" s="23" t="n">
        <x:f>IFERROR(I129/E129,0)</x:f>
        <x:v>0.925</x:v>
      </x:c>
      <x:c r="K129" s="21" t="str">
        <x:v>Yes</x:v>
      </x:c>
      <x:c r="L129" s="21" t="str">
        <x:v>No</x:v>
      </x:c>
      <x:c r="M129" s="21" t="str">
        <x:v>Same day / depends on portal</x:v>
      </x:c>
      <x:c r="N129" s="21" t="str">
        <x:v>Business details + branding</x:v>
      </x:c>
      <x:c r="O129" s="21" t="str"/>
      <x:c r="P129" s="21" t="str"/>
    </x:row>
    <x:row r="130">
      <x:c r="A130" s="21" t="n">
        <x:v>129</x:v>
      </x:c>
      <x:c r="B130" s="21" t="str">
        <x:v>Design &amp; Business Growth</x:v>
      </x:c>
      <x:c r="C130" s="21" t="str">
        <x:v>Basic 1-page business website</x:v>
      </x:c>
      <x:c r="D130" s="22" t="n">
        <x:v>5000</x:v>
      </x:c>
      <x:c r="E130" s="22" t="n">
        <x:v>5000</x:v>
      </x:c>
      <x:c r="F130" s="22" t="str">
        <x:v>Starting from</x:v>
      </x:c>
      <x:c r="G130" s="22" t="str">
        <x:v>Extra at actual</x:v>
      </x:c>
      <x:c r="H130" s="22" t="n">
        <x:v>600</x:v>
      </x:c>
      <x:c r="I130" s="22" t="n">
        <x:f>E130-H130</x:f>
        <x:v>4400</x:v>
      </x:c>
      <x:c r="J130" s="23" t="n">
        <x:f>IFERROR(I130/E130,0)</x:f>
        <x:v>0.88</x:v>
      </x:c>
      <x:c r="K130" s="21" t="str">
        <x:v>Yes</x:v>
      </x:c>
      <x:c r="L130" s="21" t="str">
        <x:v>No</x:v>
      </x:c>
      <x:c r="M130" s="21" t="str">
        <x:v>Same day / depends on portal</x:v>
      </x:c>
      <x:c r="N130" s="21" t="str">
        <x:v>Business content + domain/hosting separate</x:v>
      </x:c>
      <x:c r="O130" s="21" t="str"/>
      <x:c r="P130" s="21" t="str"/>
    </x:row>
    <x:row r="131">
      <x:c r="A131" s="21" t="n">
        <x:v>130</x:v>
      </x:c>
      <x:c r="B131" s="21" t="str">
        <x:v>Design &amp; Business Growth</x:v>
      </x:c>
      <x:c r="C131" s="21" t="str">
        <x:v>Professional multi-page website</x:v>
      </x:c>
      <x:c r="D131" s="22" t="n">
        <x:v>10000</x:v>
      </x:c>
      <x:c r="E131" s="22" t="n">
        <x:v>10000</x:v>
      </x:c>
      <x:c r="F131" s="22" t="str">
        <x:v>Starting from</x:v>
      </x:c>
      <x:c r="G131" s="22" t="str">
        <x:v>Extra at actual</x:v>
      </x:c>
      <x:c r="H131" s="22" t="n">
        <x:v>1200</x:v>
      </x:c>
      <x:c r="I131" s="22" t="n">
        <x:f>E131-H131</x:f>
        <x:v>8800</x:v>
      </x:c>
      <x:c r="J131" s="23" t="n">
        <x:f>IFERROR(I131/E131,0)</x:f>
        <x:v>0.88</x:v>
      </x:c>
      <x:c r="K131" s="21" t="str">
        <x:v>Yes</x:v>
      </x:c>
      <x:c r="L131" s="21" t="str">
        <x:v>No</x:v>
      </x:c>
      <x:c r="M131" s="21" t="str">
        <x:v>Same day / depends on portal</x:v>
      </x:c>
      <x:c r="N131" s="21" t="str">
        <x:v>Scope + content + hosting/domain separate</x:v>
      </x:c>
      <x:c r="O131" s="21" t="str"/>
      <x:c r="P131" s="21" t="str"/>
    </x:row>
    <x:row r="132">
      <x:c r="A132" s="21" t="n">
        <x:v>131</x:v>
      </x:c>
      <x:c r="B132" s="21" t="str">
        <x:v>Design &amp; Business Growth</x:v>
      </x:c>
      <x:c r="C132" s="21" t="str">
        <x:v>Digital business starter package</x:v>
      </x:c>
      <x:c r="D132" s="22" t="n">
        <x:v>3999</x:v>
      </x:c>
      <x:c r="E132" s="22" t="n">
        <x:v>3999</x:v>
      </x:c>
      <x:c r="F132" s="22" t="str">
        <x:v>Package</x:v>
      </x:c>
      <x:c r="G132" s="22" t="str">
        <x:v>Extra at actual</x:v>
      </x:c>
      <x:c r="H132" s="22" t="n">
        <x:v>300</x:v>
      </x:c>
      <x:c r="I132" s="22" t="n">
        <x:f>E132-H132</x:f>
        <x:v>3699</x:v>
      </x:c>
      <x:c r="J132" s="23" t="n">
        <x:f>IFERROR(I132/E132,0)</x:f>
        <x:v>0.9249812453113279</x:v>
      </x:c>
      <x:c r="K132" s="21" t="str">
        <x:v>Yes</x:v>
      </x:c>
      <x:c r="L132" s="21" t="str">
        <x:v>No</x:v>
      </x:c>
      <x:c r="M132" s="21" t="str">
        <x:v>Same day / depends on portal</x:v>
      </x:c>
      <x:c r="N132" s="21" t="str">
        <x:v>Logo/visiting card/Google/WhatsApp/basic creatives</x:v>
      </x:c>
      <x:c r="O132" s="21" t="str"/>
      <x:c r="P132" s="21" t="str"/>
    </x:row>
    <x:row r="133">
      <x:c r="A133" s="21" t="n">
        <x:v>132</x:v>
      </x:c>
      <x:c r="B133" s="21" t="str">
        <x:v>Design &amp; Business Growth</x:v>
      </x:c>
      <x:c r="C133" s="21" t="str">
        <x:v>Monthly social media content – 12 creatives</x:v>
      </x:c>
      <x:c r="D133" s="22" t="n">
        <x:v>4500</x:v>
      </x:c>
      <x:c r="E133" s="22" t="n">
        <x:v>4500</x:v>
      </x:c>
      <x:c r="F133" s="22" t="str">
        <x:v>Package</x:v>
      </x:c>
      <x:c r="G133" s="22" t="str">
        <x:v>Extra at actual</x:v>
      </x:c>
      <x:c r="H133" s="22" t="n">
        <x:v>500</x:v>
      </x:c>
      <x:c r="I133" s="22" t="n">
        <x:f>E133-H133</x:f>
        <x:v>4000</x:v>
      </x:c>
      <x:c r="J133" s="23" t="n">
        <x:f>IFERROR(I133/E133,0)</x:f>
        <x:v>0.8888888888888888</x:v>
      </x:c>
      <x:c r="K133" s="21" t="str">
        <x:v>Yes</x:v>
      </x:c>
      <x:c r="L133" s="21" t="str">
        <x:v>No</x:v>
      </x:c>
      <x:c r="M133" s="21" t="str">
        <x:v>Same day / depends on portal</x:v>
      </x:c>
      <x:c r="N133" s="21" t="str">
        <x:v>Monthly offers/content plan</x:v>
      </x:c>
      <x:c r="O133" s="21" t="str"/>
      <x:c r="P133" s="21" t="str"/>
    </x:row>
    <x:row r="134">
      <x:c r="A134" s="21" t="n">
        <x:v>133</x:v>
      </x:c>
      <x:c r="B134" s="21" t="str">
        <x:v>Design &amp; Business Growth</x:v>
      </x:c>
      <x:c r="C134" s="21" t="str">
        <x:v>AI-assisted business documentation session</x:v>
      </x:c>
      <x:c r="D134" s="22" t="n">
        <x:v>500</x:v>
      </x:c>
      <x:c r="E134" s="22" t="n">
        <x:v>500</x:v>
      </x:c>
      <x:c r="F134" s="22" t="str">
        <x:v>Per session</x:v>
      </x:c>
      <x:c r="G134" s="22" t="str">
        <x:v>Extra at actual</x:v>
      </x:c>
      <x:c r="H134" s="22" t="n">
        <x:v>40</x:v>
      </x:c>
      <x:c r="I134" s="22" t="n">
        <x:f>E134-H134</x:f>
        <x:v>460</x:v>
      </x:c>
      <x:c r="J134" s="23" t="n">
        <x:f>IFERROR(I134/E134,0)</x:f>
        <x:v>0.92</x:v>
      </x:c>
      <x:c r="K134" s="21" t="str">
        <x:v>Yes</x:v>
      </x:c>
      <x:c r="L134" s="21" t="str">
        <x:v>No</x:v>
      </x:c>
      <x:c r="M134" s="21" t="str">
        <x:v>Same day / depends on portal</x:v>
      </x:c>
      <x:c r="N134" s="21" t="str">
        <x:v>Business need + source information</x:v>
      </x:c>
      <x:c r="O134" s="21" t="str"/>
      <x:c r="P134" s="21" t="str"/>
    </x:row>
    <x:row r="135">
      <x:c r="A135" s="21" t="n">
        <x:v>134</x:v>
      </x:c>
      <x:c r="B135" s="21" t="str">
        <x:v>Printing, Photo &amp; Office Services</x:v>
      </x:c>
      <x:c r="C135" s="21" t="str">
        <x:v>B&amp;W A4 print</x:v>
      </x:c>
      <x:c r="D135" s="22" t="n">
        <x:v>3</x:v>
      </x:c>
      <x:c r="E135" s="22" t="n">
        <x:v>3</x:v>
      </x:c>
      <x:c r="F135" s="22" t="str">
        <x:v>Per page</x:v>
      </x:c>
      <x:c r="G135" s="22" t="str">
        <x:v>Included</x:v>
      </x:c>
      <x:c r="H135" s="22" t="n">
        <x:v>1</x:v>
      </x:c>
      <x:c r="I135" s="22" t="n">
        <x:f>E135-H135</x:f>
        <x:v>2</x:v>
      </x:c>
      <x:c r="J135" s="23" t="n">
        <x:f>IFERROR(I135/E135,0)</x:f>
        <x:v>0.6666666666666666</x:v>
      </x:c>
      <x:c r="K135" s="21" t="str">
        <x:v>Yes</x:v>
      </x:c>
      <x:c r="L135" s="21" t="str">
        <x:v>No</x:v>
      </x:c>
      <x:c r="M135" s="21" t="str">
        <x:v>Same day / depends on portal</x:v>
      </x:c>
      <x:c r="N135" s="21" t="str">
        <x:v>As applicable</x:v>
      </x:c>
      <x:c r="O135" s="21" t="str"/>
      <x:c r="P135" s="21" t="str"/>
    </x:row>
    <x:row r="136">
      <x:c r="A136" s="21" t="n">
        <x:v>135</x:v>
      </x:c>
      <x:c r="B136" s="21" t="str">
        <x:v>Printing, Photo &amp; Office Services</x:v>
      </x:c>
      <x:c r="C136" s="21" t="str">
        <x:v>Colour A4 print</x:v>
      </x:c>
      <x:c r="D136" s="22" t="n">
        <x:v>10</x:v>
      </x:c>
      <x:c r="E136" s="22" t="n">
        <x:v>10</x:v>
      </x:c>
      <x:c r="F136" s="22" t="str">
        <x:v>Per page</x:v>
      </x:c>
      <x:c r="G136" s="22" t="str">
        <x:v>Included</x:v>
      </x:c>
      <x:c r="H136" s="22" t="n">
        <x:v>4</x:v>
      </x:c>
      <x:c r="I136" s="22" t="n">
        <x:f>E136-H136</x:f>
        <x:v>6</x:v>
      </x:c>
      <x:c r="J136" s="23" t="n">
        <x:f>IFERROR(I136/E136,0)</x:f>
        <x:v>0.6</x:v>
      </x:c>
      <x:c r="K136" s="21" t="str">
        <x:v>Yes</x:v>
      </x:c>
      <x:c r="L136" s="21" t="str">
        <x:v>No</x:v>
      </x:c>
      <x:c r="M136" s="21" t="str">
        <x:v>Same day / depends on portal</x:v>
      </x:c>
      <x:c r="N136" s="21" t="str">
        <x:v>As applicable</x:v>
      </x:c>
      <x:c r="O136" s="21" t="str"/>
      <x:c r="P136" s="21" t="str"/>
    </x:row>
    <x:row r="137">
      <x:c r="A137" s="21" t="n">
        <x:v>136</x:v>
      </x:c>
      <x:c r="B137" s="21" t="str">
        <x:v>Printing, Photo &amp; Office Services</x:v>
      </x:c>
      <x:c r="C137" s="21" t="str">
        <x:v>B&amp;W photocopy</x:v>
      </x:c>
      <x:c r="D137" s="22" t="n">
        <x:v>2</x:v>
      </x:c>
      <x:c r="E137" s="22" t="n">
        <x:v>2</x:v>
      </x:c>
      <x:c r="F137" s="22" t="str">
        <x:v>Per page</x:v>
      </x:c>
      <x:c r="G137" s="22" t="str">
        <x:v>Included</x:v>
      </x:c>
      <x:c r="H137" s="22" t="n">
        <x:v>0.7</x:v>
      </x:c>
      <x:c r="I137" s="22" t="n">
        <x:f>E137-H137</x:f>
        <x:v>1.3</x:v>
      </x:c>
      <x:c r="J137" s="23" t="n">
        <x:f>IFERROR(I137/E137,0)</x:f>
        <x:v>0.65</x:v>
      </x:c>
      <x:c r="K137" s="21" t="str">
        <x:v>Yes</x:v>
      </x:c>
      <x:c r="L137" s="21" t="str">
        <x:v>No</x:v>
      </x:c>
      <x:c r="M137" s="21" t="str">
        <x:v>Same day / depends on portal</x:v>
      </x:c>
      <x:c r="N137" s="21" t="str">
        <x:v>As applicable</x:v>
      </x:c>
      <x:c r="O137" s="21" t="str"/>
      <x:c r="P137" s="21" t="str"/>
    </x:row>
    <x:row r="138">
      <x:c r="A138" s="21" t="n">
        <x:v>137</x:v>
      </x:c>
      <x:c r="B138" s="21" t="str">
        <x:v>Printing, Photo &amp; Office Services</x:v>
      </x:c>
      <x:c r="C138" s="21" t="str">
        <x:v>Colour photocopy</x:v>
      </x:c>
      <x:c r="D138" s="22" t="n">
        <x:v>10</x:v>
      </x:c>
      <x:c r="E138" s="22" t="n">
        <x:v>10</x:v>
      </x:c>
      <x:c r="F138" s="22" t="str">
        <x:v>Per page</x:v>
      </x:c>
      <x:c r="G138" s="22" t="str">
        <x:v>Included</x:v>
      </x:c>
      <x:c r="H138" s="22" t="n">
        <x:v>4</x:v>
      </x:c>
      <x:c r="I138" s="22" t="n">
        <x:f>E138-H138</x:f>
        <x:v>6</x:v>
      </x:c>
      <x:c r="J138" s="23" t="n">
        <x:f>IFERROR(I138/E138,0)</x:f>
        <x:v>0.6</x:v>
      </x:c>
      <x:c r="K138" s="21" t="str">
        <x:v>Yes</x:v>
      </x:c>
      <x:c r="L138" s="21" t="str">
        <x:v>No</x:v>
      </x:c>
      <x:c r="M138" s="21" t="str">
        <x:v>Same day / depends on portal</x:v>
      </x:c>
      <x:c r="N138" s="21" t="str">
        <x:v>As applicable</x:v>
      </x:c>
      <x:c r="O138" s="21" t="str"/>
      <x:c r="P138" s="21" t="str"/>
    </x:row>
    <x:row r="139">
      <x:c r="A139" s="21" t="n">
        <x:v>138</x:v>
      </x:c>
      <x:c r="B139" s="21" t="str">
        <x:v>Printing, Photo &amp; Office Services</x:v>
      </x:c>
      <x:c r="C139" s="21" t="str">
        <x:v>Document scan</x:v>
      </x:c>
      <x:c r="D139" s="22" t="n">
        <x:v>10</x:v>
      </x:c>
      <x:c r="E139" s="22" t="n">
        <x:v>10</x:v>
      </x:c>
      <x:c r="F139" s="22" t="str">
        <x:v>Per page</x:v>
      </x:c>
      <x:c r="G139" s="22" t="str">
        <x:v>Included</x:v>
      </x:c>
      <x:c r="H139" s="22" t="n">
        <x:v>1</x:v>
      </x:c>
      <x:c r="I139" s="22" t="n">
        <x:f>E139-H139</x:f>
        <x:v>9</x:v>
      </x:c>
      <x:c r="J139" s="23" t="n">
        <x:f>IFERROR(I139/E139,0)</x:f>
        <x:v>0.9</x:v>
      </x:c>
      <x:c r="K139" s="21" t="str">
        <x:v>Yes</x:v>
      </x:c>
      <x:c r="L139" s="21" t="str">
        <x:v>No</x:v>
      </x:c>
      <x:c r="M139" s="21" t="str">
        <x:v>Same day / depends on portal</x:v>
      </x:c>
      <x:c r="N139" s="21" t="str">
        <x:v>As applicable</x:v>
      </x:c>
      <x:c r="O139" s="21" t="str"/>
      <x:c r="P139" s="21" t="str"/>
    </x:row>
    <x:row r="140">
      <x:c r="A140" s="21" t="n">
        <x:v>139</x:v>
      </x:c>
      <x:c r="B140" s="21" t="str">
        <x:v>Printing, Photo &amp; Office Services</x:v>
      </x:c>
      <x:c r="C140" s="21" t="str">
        <x:v>Scan + email / WhatsApp</x:v>
      </x:c>
      <x:c r="D140" s="22" t="n">
        <x:v>20</x:v>
      </x:c>
      <x:c r="E140" s="22" t="n">
        <x:v>20</x:v>
      </x:c>
      <x:c r="F140" s="22" t="str">
        <x:v>Per file</x:v>
      </x:c>
      <x:c r="G140" s="22" t="str">
        <x:v>Included</x:v>
      </x:c>
      <x:c r="H140" s="22" t="n">
        <x:v>2</x:v>
      </x:c>
      <x:c r="I140" s="22" t="n">
        <x:f>E140-H140</x:f>
        <x:v>18</x:v>
      </x:c>
      <x:c r="J140" s="23" t="n">
        <x:f>IFERROR(I140/E140,0)</x:f>
        <x:v>0.9</x:v>
      </x:c>
      <x:c r="K140" s="21" t="str">
        <x:v>Yes</x:v>
      </x:c>
      <x:c r="L140" s="21" t="str">
        <x:v>No</x:v>
      </x:c>
      <x:c r="M140" s="21" t="str">
        <x:v>Same day / depends on portal</x:v>
      </x:c>
      <x:c r="N140" s="21" t="str">
        <x:v>As applicable</x:v>
      </x:c>
      <x:c r="O140" s="21" t="str"/>
      <x:c r="P140" s="21" t="str"/>
    </x:row>
    <x:row r="141">
      <x:c r="A141" s="21" t="n">
        <x:v>140</x:v>
      </x:c>
      <x:c r="B141" s="21" t="str">
        <x:v>Printing, Photo &amp; Office Services</x:v>
      </x:c>
      <x:c r="C141" s="21" t="str">
        <x:v>A4 lamination</x:v>
      </x:c>
      <x:c r="D141" s="22" t="n">
        <x:v>40</x:v>
      </x:c>
      <x:c r="E141" s="22" t="n">
        <x:v>40</x:v>
      </x:c>
      <x:c r="F141" s="22" t="str">
        <x:v>Per sheet</x:v>
      </x:c>
      <x:c r="G141" s="22" t="str">
        <x:v>Included</x:v>
      </x:c>
      <x:c r="H141" s="22" t="n">
        <x:v>15</x:v>
      </x:c>
      <x:c r="I141" s="22" t="n">
        <x:f>E141-H141</x:f>
        <x:v>25</x:v>
      </x:c>
      <x:c r="J141" s="23" t="n">
        <x:f>IFERROR(I141/E141,0)</x:f>
        <x:v>0.625</x:v>
      </x:c>
      <x:c r="K141" s="21" t="str">
        <x:v>Yes</x:v>
      </x:c>
      <x:c r="L141" s="21" t="str">
        <x:v>No</x:v>
      </x:c>
      <x:c r="M141" s="21" t="str">
        <x:v>Same day / depends on portal</x:v>
      </x:c>
      <x:c r="N141" s="21" t="str">
        <x:v>As applicable</x:v>
      </x:c>
      <x:c r="O141" s="21" t="str"/>
      <x:c r="P141" s="21" t="str"/>
    </x:row>
    <x:row r="142">
      <x:c r="A142" s="21" t="n">
        <x:v>141</x:v>
      </x:c>
      <x:c r="B142" s="21" t="str">
        <x:v>Printing, Photo &amp; Office Services</x:v>
      </x:c>
      <x:c r="C142" s="21" t="str">
        <x:v>A3 lamination</x:v>
      </x:c>
      <x:c r="D142" s="22" t="n">
        <x:v>80</x:v>
      </x:c>
      <x:c r="E142" s="22" t="n">
        <x:v>80</x:v>
      </x:c>
      <x:c r="F142" s="22" t="str">
        <x:v>Per sheet</x:v>
      </x:c>
      <x:c r="G142" s="22" t="str">
        <x:v>Included</x:v>
      </x:c>
      <x:c r="H142" s="22" t="n">
        <x:v>35</x:v>
      </x:c>
      <x:c r="I142" s="22" t="n">
        <x:f>E142-H142</x:f>
        <x:v>45</x:v>
      </x:c>
      <x:c r="J142" s="23" t="n">
        <x:f>IFERROR(I142/E142,0)</x:f>
        <x:v>0.5625</x:v>
      </x:c>
      <x:c r="K142" s="21" t="str">
        <x:v>Yes</x:v>
      </x:c>
      <x:c r="L142" s="21" t="str">
        <x:v>No</x:v>
      </x:c>
      <x:c r="M142" s="21" t="str">
        <x:v>Same day / depends on portal</x:v>
      </x:c>
      <x:c r="N142" s="21" t="str">
        <x:v>As applicable</x:v>
      </x:c>
      <x:c r="O142" s="21" t="str"/>
      <x:c r="P142" s="21" t="str"/>
    </x:row>
    <x:row r="143">
      <x:c r="A143" s="21" t="n">
        <x:v>142</x:v>
      </x:c>
      <x:c r="B143" s="21" t="str">
        <x:v>Printing, Photo &amp; Office Services</x:v>
      </x:c>
      <x:c r="C143" s="21" t="str">
        <x:v>Passport photo – 8 copies</x:v>
      </x:c>
      <x:c r="D143" s="22" t="n">
        <x:v>80</x:v>
      </x:c>
      <x:c r="E143" s="22" t="n">
        <x:v>80</x:v>
      </x:c>
      <x:c r="F143" s="22" t="str">
        <x:v>Per set</x:v>
      </x:c>
      <x:c r="G143" s="22" t="str">
        <x:v>Included</x:v>
      </x:c>
      <x:c r="H143" s="22" t="n">
        <x:v>20</x:v>
      </x:c>
      <x:c r="I143" s="22" t="n">
        <x:f>E143-H143</x:f>
        <x:v>60</x:v>
      </x:c>
      <x:c r="J143" s="23" t="n">
        <x:f>IFERROR(I143/E143,0)</x:f>
        <x:v>0.75</x:v>
      </x:c>
      <x:c r="K143" s="21" t="str">
        <x:v>Yes</x:v>
      </x:c>
      <x:c r="L143" s="21" t="str">
        <x:v>No</x:v>
      </x:c>
      <x:c r="M143" s="21" t="str">
        <x:v>Same day / depends on portal</x:v>
      </x:c>
      <x:c r="N143" s="21" t="str">
        <x:v>As applicable</x:v>
      </x:c>
      <x:c r="O143" s="21" t="str"/>
      <x:c r="P143" s="21" t="str"/>
    </x:row>
    <x:row r="144">
      <x:c r="A144" s="21" t="n">
        <x:v>143</x:v>
      </x:c>
      <x:c r="B144" s="21" t="str">
        <x:v>Printing, Photo &amp; Office Services</x:v>
      </x:c>
      <x:c r="C144" s="21" t="str">
        <x:v>Passport / ID photo editing only</x:v>
      </x:c>
      <x:c r="D144" s="22" t="n">
        <x:v>50</x:v>
      </x:c>
      <x:c r="E144" s="22" t="n">
        <x:v>50</x:v>
      </x:c>
      <x:c r="F144" s="22" t="str">
        <x:v>Per photo</x:v>
      </x:c>
      <x:c r="G144" s="22" t="str">
        <x:v>Included</x:v>
      </x:c>
      <x:c r="H144" s="22" t="n">
        <x:v>5</x:v>
      </x:c>
      <x:c r="I144" s="22" t="n">
        <x:f>E144-H144</x:f>
        <x:v>45</x:v>
      </x:c>
      <x:c r="J144" s="23" t="n">
        <x:f>IFERROR(I144/E144,0)</x:f>
        <x:v>0.9</x:v>
      </x:c>
      <x:c r="K144" s="21" t="str">
        <x:v>Yes</x:v>
      </x:c>
      <x:c r="L144" s="21" t="str">
        <x:v>No</x:v>
      </x:c>
      <x:c r="M144" s="21" t="str">
        <x:v>Same day / depends on portal</x:v>
      </x:c>
      <x:c r="N144" s="21" t="str">
        <x:v>As applicable</x:v>
      </x:c>
      <x:c r="O144" s="21" t="str"/>
      <x:c r="P144" s="21" t="str"/>
    </x:row>
    <x:row r="145">
      <x:c r="A145" s="21" t="n">
        <x:v>144</x:v>
      </x:c>
      <x:c r="B145" s="21" t="str">
        <x:v>Printing, Photo &amp; Office Services</x:v>
      </x:c>
      <x:c r="C145" s="21" t="str">
        <x:v>Professional background correction</x:v>
      </x:c>
      <x:c r="D145" s="22" t="n">
        <x:v>100</x:v>
      </x:c>
      <x:c r="E145" s="22" t="n">
        <x:v>100</x:v>
      </x:c>
      <x:c r="F145" s="22" t="str">
        <x:v>Per photo</x:v>
      </x:c>
      <x:c r="G145" s="22" t="str">
        <x:v>Included</x:v>
      </x:c>
      <x:c r="H145" s="22" t="n">
        <x:v>10</x:v>
      </x:c>
      <x:c r="I145" s="22" t="n">
        <x:f>E145-H145</x:f>
        <x:v>90</x:v>
      </x:c>
      <x:c r="J145" s="23" t="n">
        <x:f>IFERROR(I145/E145,0)</x:f>
        <x:v>0.9</x:v>
      </x:c>
      <x:c r="K145" s="21" t="str">
        <x:v>Yes</x:v>
      </x:c>
      <x:c r="L145" s="21" t="str">
        <x:v>No</x:v>
      </x:c>
      <x:c r="M145" s="21" t="str">
        <x:v>Same day / depends on portal</x:v>
      </x:c>
      <x:c r="N145" s="21" t="str">
        <x:v>As applicable</x:v>
      </x:c>
      <x:c r="O145" s="21" t="str"/>
      <x:c r="P145" s="21" t="str"/>
    </x:row>
    <x:row r="146">
      <x:c r="A146" s="21" t="n">
        <x:v>145</x:v>
      </x:c>
      <x:c r="B146" s="21" t="str">
        <x:v>Printing, Photo &amp; Office Services</x:v>
      </x:c>
      <x:c r="C146" s="21" t="str">
        <x:v>Old photo restoration – basic</x:v>
      </x:c>
      <x:c r="D146" s="22" t="n">
        <x:v>300</x:v>
      </x:c>
      <x:c r="E146" s="22" t="n">
        <x:v>300</x:v>
      </x:c>
      <x:c r="F146" s="22" t="str">
        <x:v>Starting from</x:v>
      </x:c>
      <x:c r="G146" s="22" t="str">
        <x:v>Included</x:v>
      </x:c>
      <x:c r="H146" s="22" t="n">
        <x:v>25</x:v>
      </x:c>
      <x:c r="I146" s="22" t="n">
        <x:f>E146-H146</x:f>
        <x:v>275</x:v>
      </x:c>
      <x:c r="J146" s="23" t="n">
        <x:f>IFERROR(I146/E146,0)</x:f>
        <x:v>0.9166666666666666</x:v>
      </x:c>
      <x:c r="K146" s="21" t="str">
        <x:v>Yes</x:v>
      </x:c>
      <x:c r="L146" s="21" t="str">
        <x:v>No</x:v>
      </x:c>
      <x:c r="M146" s="21" t="str">
        <x:v>Same day / depends on portal</x:v>
      </x:c>
      <x:c r="N146" s="21" t="str">
        <x:v>As applicable</x:v>
      </x:c>
      <x:c r="O146" s="21" t="str"/>
      <x:c r="P146" s="21" t="str"/>
    </x:row>
    <x:row r="147">
      <x:c r="A147" s="21" t="n">
        <x:v>146</x:v>
      </x:c>
      <x:c r="B147" s="21" t="str">
        <x:v>Printing, Photo &amp; Office Services</x:v>
      </x:c>
      <x:c r="C147" s="21" t="str">
        <x:v>Advanced photo restoration</x:v>
      </x:c>
      <x:c r="D147" s="22" t="n">
        <x:v>500</x:v>
      </x:c>
      <x:c r="E147" s="22" t="n">
        <x:v>500</x:v>
      </x:c>
      <x:c r="F147" s="22" t="str">
        <x:v>Starting from</x:v>
      </x:c>
      <x:c r="G147" s="22" t="str">
        <x:v>Included</x:v>
      </x:c>
      <x:c r="H147" s="22" t="n">
        <x:v>50</x:v>
      </x:c>
      <x:c r="I147" s="22" t="n">
        <x:f>E147-H147</x:f>
        <x:v>450</x:v>
      </x:c>
      <x:c r="J147" s="23" t="n">
        <x:f>IFERROR(I147/E147,0)</x:f>
        <x:v>0.9</x:v>
      </x:c>
      <x:c r="K147" s="21" t="str">
        <x:v>Yes</x:v>
      </x:c>
      <x:c r="L147" s="21" t="str">
        <x:v>No</x:v>
      </x:c>
      <x:c r="M147" s="21" t="str">
        <x:v>Same day / depends on portal</x:v>
      </x:c>
      <x:c r="N147" s="21" t="str">
        <x:v>As applicable</x:v>
      </x:c>
      <x:c r="O147" s="21" t="str"/>
      <x:c r="P147" s="21" t="str"/>
    </x:row>
    <x:row r="148">
      <x:c r="A148" s="21" t="n">
        <x:v>147</x:v>
      </x:c>
      <x:c r="B148" s="21" t="str">
        <x:v>Printing, Photo &amp; Office Services</x:v>
      </x:c>
      <x:c r="C148" s="21" t="str">
        <x:v>Family photo / composition edit</x:v>
      </x:c>
      <x:c r="D148" s="22" t="n">
        <x:v>500</x:v>
      </x:c>
      <x:c r="E148" s="22" t="n">
        <x:v>500</x:v>
      </x:c>
      <x:c r="F148" s="22" t="str">
        <x:v>Starting from</x:v>
      </x:c>
      <x:c r="G148" s="22" t="str">
        <x:v>Included</x:v>
      </x:c>
      <x:c r="H148" s="22" t="n">
        <x:v>50</x:v>
      </x:c>
      <x:c r="I148" s="22" t="n">
        <x:f>E148-H148</x:f>
        <x:v>450</x:v>
      </x:c>
      <x:c r="J148" s="23" t="n">
        <x:f>IFERROR(I148/E148,0)</x:f>
        <x:v>0.9</x:v>
      </x:c>
      <x:c r="K148" s="21" t="str">
        <x:v>Yes</x:v>
      </x:c>
      <x:c r="L148" s="21" t="str">
        <x:v>No</x:v>
      </x:c>
      <x:c r="M148" s="21" t="str">
        <x:v>Same day / depends on portal</x:v>
      </x:c>
      <x:c r="N148" s="21" t="str">
        <x:v>As applicable</x:v>
      </x:c>
      <x:c r="O148" s="21" t="str"/>
      <x:c r="P148" s="21" t="str"/>
    </x:row>
    <x:row r="149">
      <x:c r="A149" s="21" t="n">
        <x:v>148</x:v>
      </x:c>
      <x:c r="B149" s="21" t="str">
        <x:v>Printing, Photo &amp; Office Services</x:v>
      </x:c>
      <x:c r="C149" s="21" t="str">
        <x:v>Photo collage design</x:v>
      </x:c>
      <x:c r="D149" s="22" t="n">
        <x:v>500</x:v>
      </x:c>
      <x:c r="E149" s="22" t="n">
        <x:v>500</x:v>
      </x:c>
      <x:c r="F149" s="22" t="str">
        <x:v>Starting from</x:v>
      </x:c>
      <x:c r="G149" s="22" t="str">
        <x:v>Included</x:v>
      </x:c>
      <x:c r="H149" s="22" t="n">
        <x:v>50</x:v>
      </x:c>
      <x:c r="I149" s="22" t="n">
        <x:f>E149-H149</x:f>
        <x:v>450</x:v>
      </x:c>
      <x:c r="J149" s="23" t="n">
        <x:f>IFERROR(I149/E149,0)</x:f>
        <x:v>0.9</x:v>
      </x:c>
      <x:c r="K149" s="21" t="str">
        <x:v>Yes</x:v>
      </x:c>
      <x:c r="L149" s="21" t="str">
        <x:v>No</x:v>
      </x:c>
      <x:c r="M149" s="21" t="str">
        <x:v>Same day / depends on portal</x:v>
      </x:c>
      <x:c r="N149" s="21" t="str">
        <x:v>As applicable</x:v>
      </x:c>
      <x:c r="O149" s="21" t="str"/>
      <x:c r="P149" s="21" t="str"/>
    </x:row>
    <x:row r="150">
      <x:c r="A150" s="21" t="n">
        <x:v>149</x:v>
      </x:c>
      <x:c r="B150" s="21" t="str">
        <x:v>Printing, Photo &amp; Office Services</x:v>
      </x:c>
      <x:c r="C150" s="21" t="str">
        <x:v>Custom PVC ID card</x:v>
      </x:c>
      <x:c r="D150" s="22" t="n">
        <x:v>150</x:v>
      </x:c>
      <x:c r="E150" s="22" t="n">
        <x:v>150</x:v>
      </x:c>
      <x:c r="F150" s="22" t="str">
        <x:v>Per card</x:v>
      </x:c>
      <x:c r="G150" s="22" t="str">
        <x:v>Included</x:v>
      </x:c>
      <x:c r="H150" s="22" t="n">
        <x:v>45</x:v>
      </x:c>
      <x:c r="I150" s="22" t="n">
        <x:f>E150-H150</x:f>
        <x:v>105</x:v>
      </x:c>
      <x:c r="J150" s="23" t="n">
        <x:f>IFERROR(I150/E150,0)</x:f>
        <x:v>0.7</x:v>
      </x:c>
      <x:c r="K150" s="21" t="str">
        <x:v>Yes</x:v>
      </x:c>
      <x:c r="L150" s="21" t="str">
        <x:v>No</x:v>
      </x:c>
      <x:c r="M150" s="21" t="str">
        <x:v>Same day / depends on portal</x:v>
      </x:c>
      <x:c r="N150" s="21" t="str">
        <x:v>As applicable</x:v>
      </x:c>
      <x:c r="O150" s="21" t="str"/>
      <x:c r="P150" s="21" t="str"/>
    </x:row>
    <x:row r="151">
      <x:c r="A151" s="21" t="n">
        <x:v>150</x:v>
      </x:c>
      <x:c r="B151" s="21" t="str">
        <x:v>Printing, Photo &amp; Office Services</x:v>
      </x:c>
      <x:c r="C151" s="21" t="str">
        <x:v>Employee ID card – first card with design</x:v>
      </x:c>
      <x:c r="D151" s="22" t="n">
        <x:v>200</x:v>
      </x:c>
      <x:c r="E151" s="22" t="n">
        <x:v>200</x:v>
      </x:c>
      <x:c r="F151" s="22" t="str">
        <x:v>First card</x:v>
      </x:c>
      <x:c r="G151" s="22" t="str">
        <x:v>Included</x:v>
      </x:c>
      <x:c r="H151" s="22" t="n">
        <x:v>55</x:v>
      </x:c>
      <x:c r="I151" s="22" t="n">
        <x:f>E151-H151</x:f>
        <x:v>145</x:v>
      </x:c>
      <x:c r="J151" s="23" t="n">
        <x:f>IFERROR(I151/E151,0)</x:f>
        <x:v>0.725</x:v>
      </x:c>
      <x:c r="K151" s="21" t="str">
        <x:v>Yes</x:v>
      </x:c>
      <x:c r="L151" s="21" t="str">
        <x:v>No</x:v>
      </x:c>
      <x:c r="M151" s="21" t="str">
        <x:v>Same day / depends on portal</x:v>
      </x:c>
      <x:c r="N151" s="21" t="str">
        <x:v>As applicable</x:v>
      </x:c>
      <x:c r="O151" s="21" t="str"/>
      <x:c r="P151" s="21" t="str"/>
    </x:row>
    <x:row r="152">
      <x:c r="A152" s="21" t="n">
        <x:v>151</x:v>
      </x:c>
      <x:c r="B152" s="21" t="str">
        <x:v>Printing, Photo &amp; Office Services</x:v>
      </x:c>
      <x:c r="C152" s="21" t="str">
        <x:v>Additional employee ID card</x:v>
      </x:c>
      <x:c r="D152" s="22" t="n">
        <x:v>50</x:v>
      </x:c>
      <x:c r="E152" s="22" t="n">
        <x:v>50</x:v>
      </x:c>
      <x:c r="F152" s="22" t="str">
        <x:v>Per card</x:v>
      </x:c>
      <x:c r="G152" s="22" t="str">
        <x:v>Included</x:v>
      </x:c>
      <x:c r="H152" s="22" t="n">
        <x:v>25</x:v>
      </x:c>
      <x:c r="I152" s="22" t="n">
        <x:f>E152-H152</x:f>
        <x:v>25</x:v>
      </x:c>
      <x:c r="J152" s="23" t="n">
        <x:f>IFERROR(I152/E152,0)</x:f>
        <x:v>0.5</x:v>
      </x:c>
      <x:c r="K152" s="21" t="str">
        <x:v>Yes</x:v>
      </x:c>
      <x:c r="L152" s="21" t="str">
        <x:v>No</x:v>
      </x:c>
      <x:c r="M152" s="21" t="str">
        <x:v>Same day / depends on portal</x:v>
      </x:c>
      <x:c r="N152" s="21" t="str">
        <x:v>As applicable</x:v>
      </x:c>
      <x:c r="O152" s="21" t="str"/>
      <x:c r="P152" s="21" t="str"/>
    </x:row>
    <x:row r="153">
      <x:c r="A153" s="21" t="n">
        <x:v>152</x:v>
      </x:c>
      <x:c r="B153" s="21" t="str">
        <x:v>Printing, Photo &amp; Office Services</x:v>
      </x:c>
      <x:c r="C153" s="21" t="str">
        <x:v>Document typing – English/Hindi/Marathi</x:v>
      </x:c>
      <x:c r="D153" s="22" t="n">
        <x:v>50</x:v>
      </x:c>
      <x:c r="E153" s="22" t="n">
        <x:v>50</x:v>
      </x:c>
      <x:c r="F153" s="22" t="str">
        <x:v>Per page</x:v>
      </x:c>
      <x:c r="G153" s="22" t="str">
        <x:v>Included</x:v>
      </x:c>
      <x:c r="H153" s="22" t="n">
        <x:v>10</x:v>
      </x:c>
      <x:c r="I153" s="22" t="n">
        <x:f>E153-H153</x:f>
        <x:v>40</x:v>
      </x:c>
      <x:c r="J153" s="23" t="n">
        <x:f>IFERROR(I153/E153,0)</x:f>
        <x:v>0.8</x:v>
      </x:c>
      <x:c r="K153" s="21" t="str">
        <x:v>Yes</x:v>
      </x:c>
      <x:c r="L153" s="21" t="str">
        <x:v>No</x:v>
      </x:c>
      <x:c r="M153" s="21" t="str">
        <x:v>Same day / depends on portal</x:v>
      </x:c>
      <x:c r="N153" s="21" t="str">
        <x:v>As applicable</x:v>
      </x:c>
      <x:c r="O153" s="21" t="str"/>
      <x:c r="P153" s="21" t="str"/>
    </x:row>
    <x:row r="154">
      <x:c r="A154" s="21" t="n">
        <x:v>153</x:v>
      </x:c>
      <x:c r="B154" s="21" t="str">
        <x:v>Printing, Photo &amp; Office Services</x:v>
      </x:c>
      <x:c r="C154" s="21" t="str">
        <x:v>PDF merge / split / compress</x:v>
      </x:c>
      <x:c r="D154" s="22" t="n">
        <x:v>50</x:v>
      </x:c>
      <x:c r="E154" s="22" t="n">
        <x:v>50</x:v>
      </x:c>
      <x:c r="F154" s="22" t="str">
        <x:v>Per job</x:v>
      </x:c>
      <x:c r="G154" s="22" t="str">
        <x:v>Included</x:v>
      </x:c>
      <x:c r="H154" s="22" t="n">
        <x:v>5</x:v>
      </x:c>
      <x:c r="I154" s="22" t="n">
        <x:f>E154-H154</x:f>
        <x:v>45</x:v>
      </x:c>
      <x:c r="J154" s="23" t="n">
        <x:f>IFERROR(I154/E154,0)</x:f>
        <x:v>0.9</x:v>
      </x:c>
      <x:c r="K154" s="21" t="str">
        <x:v>Yes</x:v>
      </x:c>
      <x:c r="L154" s="21" t="str">
        <x:v>No</x:v>
      </x:c>
      <x:c r="M154" s="21" t="str">
        <x:v>Same day / depends on portal</x:v>
      </x:c>
      <x:c r="N154" s="21" t="str">
        <x:v>As applicable</x:v>
      </x:c>
      <x:c r="O154" s="21" t="str"/>
      <x:c r="P154" s="21" t="str"/>
    </x:row>
    <x:row r="155">
      <x:c r="A155" s="21" t="n">
        <x:v>154</x:v>
      </x:c>
      <x:c r="B155" s="21" t="str">
        <x:v>Sarathi Smart Solutions</x:v>
      </x:c>
      <x:c r="C155" s="21" t="str">
        <x:v>CCTV site survey / inspection</x:v>
      </x:c>
      <x:c r="D155" s="22" t="n">
        <x:v>300</x:v>
      </x:c>
      <x:c r="E155" s="22" t="n">
        <x:v>300</x:v>
      </x:c>
      <x:c r="F155" s="22" t="str">
        <x:v>Per visit</x:v>
      </x:c>
      <x:c r="G155" s="22" t="str">
        <x:v>Materials extra</x:v>
      </x:c>
      <x:c r="H155" s="22" t="n">
        <x:v>80</x:v>
      </x:c>
      <x:c r="I155" s="22" t="n">
        <x:f>E155-H155</x:f>
        <x:v>220</x:v>
      </x:c>
      <x:c r="J155" s="23" t="n">
        <x:f>IFERROR(I155/E155,0)</x:f>
        <x:v>0.7333333333333333</x:v>
      </x:c>
      <x:c r="K155" s="21" t="str">
        <x:v>Yes</x:v>
      </x:c>
      <x:c r="L155" s="21" t="str">
        <x:v>No</x:v>
      </x:c>
      <x:c r="M155" s="21" t="str">
        <x:v>Same day / depends on portal</x:v>
      </x:c>
      <x:c r="N155" s="21" t="str">
        <x:v>Site access + requirement</x:v>
      </x:c>
      <x:c r="O155" s="21" t="str"/>
      <x:c r="P155" s="21" t="str"/>
    </x:row>
    <x:row r="156">
      <x:c r="A156" s="21" t="n">
        <x:v>155</x:v>
      </x:c>
      <x:c r="B156" s="21" t="str">
        <x:v>Sarathi Smart Solutions</x:v>
      </x:c>
      <x:c r="C156" s="21" t="str">
        <x:v>CCTV installation – 1 camera labour</x:v>
      </x:c>
      <x:c r="D156" s="22" t="n">
        <x:v>800</x:v>
      </x:c>
      <x:c r="E156" s="22" t="n">
        <x:v>800</x:v>
      </x:c>
      <x:c r="F156" s="22" t="str">
        <x:v>Per camera</x:v>
      </x:c>
      <x:c r="G156" s="22" t="str">
        <x:v>Materials extra</x:v>
      </x:c>
      <x:c r="H156" s="22" t="n">
        <x:v>180</x:v>
      </x:c>
      <x:c r="I156" s="22" t="n">
        <x:f>E156-H156</x:f>
        <x:v>620</x:v>
      </x:c>
      <x:c r="J156" s="23" t="n">
        <x:f>IFERROR(I156/E156,0)</x:f>
        <x:v>0.775</x:v>
      </x:c>
      <x:c r="K156" s="21" t="str">
        <x:v>Yes</x:v>
      </x:c>
      <x:c r="L156" s="21" t="str">
        <x:v>No</x:v>
      </x:c>
      <x:c r="M156" s="21" t="str">
        <x:v>Same day / depends on portal</x:v>
      </x:c>
      <x:c r="N156" s="21" t="str">
        <x:v>Camera/system available or quoted separately</x:v>
      </x:c>
      <x:c r="O156" s="21" t="str"/>
      <x:c r="P156" s="21" t="str"/>
    </x:row>
    <x:row r="157">
      <x:c r="A157" s="21" t="n">
        <x:v>156</x:v>
      </x:c>
      <x:c r="B157" s="21" t="str">
        <x:v>Sarathi Smart Solutions</x:v>
      </x:c>
      <x:c r="C157" s="21" t="str">
        <x:v>CCTV installation – 2 cameras labour</x:v>
      </x:c>
      <x:c r="D157" s="22" t="n">
        <x:v>1500</x:v>
      </x:c>
      <x:c r="E157" s="22" t="n">
        <x:v>1500</x:v>
      </x:c>
      <x:c r="F157" s="22" t="str">
        <x:v>Package</x:v>
      </x:c>
      <x:c r="G157" s="22" t="str">
        <x:v>Materials extra</x:v>
      </x:c>
      <x:c r="H157" s="22" t="n">
        <x:v>300</x:v>
      </x:c>
      <x:c r="I157" s="22" t="n">
        <x:f>E157-H157</x:f>
        <x:v>1200</x:v>
      </x:c>
      <x:c r="J157" s="23" t="n">
        <x:f>IFERROR(I157/E157,0)</x:f>
        <x:v>0.8</x:v>
      </x:c>
      <x:c r="K157" s="21" t="str">
        <x:v>Yes</x:v>
      </x:c>
      <x:c r="L157" s="21" t="str">
        <x:v>No</x:v>
      </x:c>
      <x:c r="M157" s="21" t="str">
        <x:v>Same day / depends on portal</x:v>
      </x:c>
      <x:c r="N157" s="21" t="str">
        <x:v>As applicable</x:v>
      </x:c>
      <x:c r="O157" s="21" t="str"/>
      <x:c r="P157" s="21" t="str"/>
    </x:row>
    <x:row r="158">
      <x:c r="A158" s="21" t="n">
        <x:v>157</x:v>
      </x:c>
      <x:c r="B158" s="21" t="str">
        <x:v>Sarathi Smart Solutions</x:v>
      </x:c>
      <x:c r="C158" s="21" t="str">
        <x:v>CCTV installation – 3 cameras labour</x:v>
      </x:c>
      <x:c r="D158" s="22" t="n">
        <x:v>2200</x:v>
      </x:c>
      <x:c r="E158" s="22" t="n">
        <x:v>2200</x:v>
      </x:c>
      <x:c r="F158" s="22" t="str">
        <x:v>Package</x:v>
      </x:c>
      <x:c r="G158" s="22" t="str">
        <x:v>Materials extra</x:v>
      </x:c>
      <x:c r="H158" s="22" t="n">
        <x:v>420</x:v>
      </x:c>
      <x:c r="I158" s="22" t="n">
        <x:f>E158-H158</x:f>
        <x:v>1780</x:v>
      </x:c>
      <x:c r="J158" s="23" t="n">
        <x:f>IFERROR(I158/E158,0)</x:f>
        <x:v>0.8090909090909091</x:v>
      </x:c>
      <x:c r="K158" s="21" t="str">
        <x:v>Yes</x:v>
      </x:c>
      <x:c r="L158" s="21" t="str">
        <x:v>No</x:v>
      </x:c>
      <x:c r="M158" s="21" t="str">
        <x:v>Same day / depends on portal</x:v>
      </x:c>
      <x:c r="N158" s="21" t="str">
        <x:v>As applicable</x:v>
      </x:c>
      <x:c r="O158" s="21" t="str"/>
      <x:c r="P158" s="21" t="str"/>
    </x:row>
    <x:row r="159">
      <x:c r="A159" s="21" t="n">
        <x:v>158</x:v>
      </x:c>
      <x:c r="B159" s="21" t="str">
        <x:v>Sarathi Smart Solutions</x:v>
      </x:c>
      <x:c r="C159" s="21" t="str">
        <x:v>CCTV installation – 4 cameras labour</x:v>
      </x:c>
      <x:c r="D159" s="22" t="n">
        <x:v>2800</x:v>
      </x:c>
      <x:c r="E159" s="22" t="n">
        <x:v>2800</x:v>
      </x:c>
      <x:c r="F159" s="22" t="str">
        <x:v>Package</x:v>
      </x:c>
      <x:c r="G159" s="22" t="str">
        <x:v>Materials extra</x:v>
      </x:c>
      <x:c r="H159" s="22" t="n">
        <x:v>520</x:v>
      </x:c>
      <x:c r="I159" s="22" t="n">
        <x:f>E159-H159</x:f>
        <x:v>2280</x:v>
      </x:c>
      <x:c r="J159" s="23" t="n">
        <x:f>IFERROR(I159/E159,0)</x:f>
        <x:v>0.8142857142857143</x:v>
      </x:c>
      <x:c r="K159" s="21" t="str">
        <x:v>Yes</x:v>
      </x:c>
      <x:c r="L159" s="21" t="str">
        <x:v>No</x:v>
      </x:c>
      <x:c r="M159" s="21" t="str">
        <x:v>Same day / depends on portal</x:v>
      </x:c>
      <x:c r="N159" s="21" t="str">
        <x:v>As applicable</x:v>
      </x:c>
      <x:c r="O159" s="21" t="str"/>
      <x:c r="P159" s="21" t="str"/>
    </x:row>
    <x:row r="160">
      <x:c r="A160" s="21" t="n">
        <x:v>159</x:v>
      </x:c>
      <x:c r="B160" s="21" t="str">
        <x:v>Sarathi Smart Solutions</x:v>
      </x:c>
      <x:c r="C160" s="21" t="str">
        <x:v>Additional CCTV camera labour</x:v>
      </x:c>
      <x:c r="D160" s="22" t="n">
        <x:v>600</x:v>
      </x:c>
      <x:c r="E160" s="22" t="n">
        <x:v>600</x:v>
      </x:c>
      <x:c r="F160" s="22" t="str">
        <x:v>Per camera</x:v>
      </x:c>
      <x:c r="G160" s="22" t="str">
        <x:v>Materials extra</x:v>
      </x:c>
      <x:c r="H160" s="22" t="n">
        <x:v>120</x:v>
      </x:c>
      <x:c r="I160" s="22" t="n">
        <x:f>E160-H160</x:f>
        <x:v>480</x:v>
      </x:c>
      <x:c r="J160" s="23" t="n">
        <x:f>IFERROR(I160/E160,0)</x:f>
        <x:v>0.8</x:v>
      </x:c>
      <x:c r="K160" s="21" t="str">
        <x:v>Yes</x:v>
      </x:c>
      <x:c r="L160" s="21" t="str">
        <x:v>No</x:v>
      </x:c>
      <x:c r="M160" s="21" t="str">
        <x:v>Same day / depends on portal</x:v>
      </x:c>
      <x:c r="N160" s="21" t="str">
        <x:v>As applicable</x:v>
      </x:c>
      <x:c r="O160" s="21" t="str"/>
      <x:c r="P160" s="21" t="str"/>
    </x:row>
    <x:row r="161">
      <x:c r="A161" s="21" t="n">
        <x:v>160</x:v>
      </x:c>
      <x:c r="B161" s="21" t="str">
        <x:v>Sarathi Smart Solutions</x:v>
      </x:c>
      <x:c r="C161" s="21" t="str">
        <x:v>DVR/NVR configuration</x:v>
      </x:c>
      <x:c r="D161" s="22" t="n">
        <x:v>500</x:v>
      </x:c>
      <x:c r="E161" s="22" t="n">
        <x:v>500</x:v>
      </x:c>
      <x:c r="F161" s="22" t="str">
        <x:v>Per system</x:v>
      </x:c>
      <x:c r="G161" s="22" t="str">
        <x:v>Hardware extra</x:v>
      </x:c>
      <x:c r="H161" s="22" t="n">
        <x:v>50</x:v>
      </x:c>
      <x:c r="I161" s="22" t="n">
        <x:f>E161-H161</x:f>
        <x:v>450</x:v>
      </x:c>
      <x:c r="J161" s="23" t="n">
        <x:f>IFERROR(I161/E161,0)</x:f>
        <x:v>0.9</x:v>
      </x:c>
      <x:c r="K161" s="21" t="str">
        <x:v>Yes</x:v>
      </x:c>
      <x:c r="L161" s="21" t="str">
        <x:v>No</x:v>
      </x:c>
      <x:c r="M161" s="21" t="str">
        <x:v>Same day / depends on portal</x:v>
      </x:c>
      <x:c r="N161" s="21" t="str">
        <x:v>As applicable</x:v>
      </x:c>
      <x:c r="O161" s="21" t="str"/>
      <x:c r="P161" s="21" t="str"/>
    </x:row>
    <x:row r="162">
      <x:c r="A162" s="21" t="n">
        <x:v>161</x:v>
      </x:c>
      <x:c r="B162" s="21" t="str">
        <x:v>Sarathi Smart Solutions</x:v>
      </x:c>
      <x:c r="C162" s="21" t="str">
        <x:v>Mobile CCTV viewing setup</x:v>
      </x:c>
      <x:c r="D162" s="22" t="n">
        <x:v>500</x:v>
      </x:c>
      <x:c r="E162" s="22" t="n">
        <x:v>500</x:v>
      </x:c>
      <x:c r="F162" s="22" t="str">
        <x:v>Per system</x:v>
      </x:c>
      <x:c r="G162" s="22" t="str">
        <x:v>Internet/data extra</x:v>
      </x:c>
      <x:c r="H162" s="22" t="n">
        <x:v>50</x:v>
      </x:c>
      <x:c r="I162" s="22" t="n">
        <x:f>E162-H162</x:f>
        <x:v>450</x:v>
      </x:c>
      <x:c r="J162" s="23" t="n">
        <x:f>IFERROR(I162/E162,0)</x:f>
        <x:v>0.9</x:v>
      </x:c>
      <x:c r="K162" s="21" t="str">
        <x:v>Yes</x:v>
      </x:c>
      <x:c r="L162" s="21" t="str">
        <x:v>No</x:v>
      </x:c>
      <x:c r="M162" s="21" t="str">
        <x:v>Same day / depends on portal</x:v>
      </x:c>
      <x:c r="N162" s="21" t="str">
        <x:v>As applicable</x:v>
      </x:c>
      <x:c r="O162" s="21" t="str"/>
      <x:c r="P162" s="21" t="str"/>
    </x:row>
    <x:row r="163">
      <x:c r="A163" s="21" t="n">
        <x:v>162</x:v>
      </x:c>
      <x:c r="B163" s="21" t="str">
        <x:v>Sarathi Smart Solutions</x:v>
      </x:c>
      <x:c r="C163" s="21" t="str">
        <x:v>CCTV service / troubleshooting visit</x:v>
      </x:c>
      <x:c r="D163" s="22" t="n">
        <x:v>500</x:v>
      </x:c>
      <x:c r="E163" s="22" t="n">
        <x:v>500</x:v>
      </x:c>
      <x:c r="F163" s="22" t="str">
        <x:v>Per visit</x:v>
      </x:c>
      <x:c r="G163" s="22" t="str">
        <x:v>Parts extra</x:v>
      </x:c>
      <x:c r="H163" s="22" t="n">
        <x:v>120</x:v>
      </x:c>
      <x:c r="I163" s="22" t="n">
        <x:f>E163-H163</x:f>
        <x:v>380</x:v>
      </x:c>
      <x:c r="J163" s="23" t="n">
        <x:f>IFERROR(I163/E163,0)</x:f>
        <x:v>0.76</x:v>
      </x:c>
      <x:c r="K163" s="21" t="str">
        <x:v>Yes</x:v>
      </x:c>
      <x:c r="L163" s="21" t="str">
        <x:v>No</x:v>
      </x:c>
      <x:c r="M163" s="21" t="str">
        <x:v>Same day / depends on portal</x:v>
      </x:c>
      <x:c r="N163" s="21" t="str">
        <x:v>As applicable</x:v>
      </x:c>
      <x:c r="O163" s="21" t="str"/>
      <x:c r="P163" s="21" t="str"/>
    </x:row>
    <x:row r="164">
      <x:c r="A164" s="21" t="n">
        <x:v>163</x:v>
      </x:c>
      <x:c r="B164" s="21" t="str">
        <x:v>Sarathi Smart Solutions</x:v>
      </x:c>
      <x:c r="C164" s="21" t="str">
        <x:v>CCTV preventive maintenance – small site</x:v>
      </x:c>
      <x:c r="D164" s="22" t="n">
        <x:v>1200</x:v>
      </x:c>
      <x:c r="E164" s="22" t="n">
        <x:v>1200</x:v>
      </x:c>
      <x:c r="F164" s="22" t="str">
        <x:v>Starting from</x:v>
      </x:c>
      <x:c r="G164" s="22" t="str">
        <x:v>Parts extra</x:v>
      </x:c>
      <x:c r="H164" s="22" t="n">
        <x:v>250</x:v>
      </x:c>
      <x:c r="I164" s="22" t="n">
        <x:f>E164-H164</x:f>
        <x:v>950</x:v>
      </x:c>
      <x:c r="J164" s="23" t="n">
        <x:f>IFERROR(I164/E164,0)</x:f>
        <x:v>0.7916666666666666</x:v>
      </x:c>
      <x:c r="K164" s="21" t="str">
        <x:v>Yes</x:v>
      </x:c>
      <x:c r="L164" s="21" t="str">
        <x:v>No</x:v>
      </x:c>
      <x:c r="M164" s="21" t="str">
        <x:v>Same day / depends on portal</x:v>
      </x:c>
      <x:c r="N164" s="21" t="str">
        <x:v>As applicable</x:v>
      </x:c>
      <x:c r="O164" s="21" t="str"/>
      <x:c r="P164" s="21" t="str"/>
    </x:row>
    <x:row r="165">
      <x:c r="A165" s="21" t="n">
        <x:v>164</x:v>
      </x:c>
      <x:c r="B165" s="21" t="str">
        <x:v>Sarathi Smart Solutions</x:v>
      </x:c>
      <x:c r="C165" s="21" t="str">
        <x:v>Wi-Fi router installation &amp; setup</x:v>
      </x:c>
      <x:c r="D165" s="22" t="n">
        <x:v>500</x:v>
      </x:c>
      <x:c r="E165" s="22" t="n">
        <x:v>500</x:v>
      </x:c>
      <x:c r="F165" s="22" t="str">
        <x:v>Per router</x:v>
      </x:c>
      <x:c r="G165" s="22" t="str">
        <x:v>Hardware extra</x:v>
      </x:c>
      <x:c r="H165" s="22" t="n">
        <x:v>70</x:v>
      </x:c>
      <x:c r="I165" s="22" t="n">
        <x:f>E165-H165</x:f>
        <x:v>430</x:v>
      </x:c>
      <x:c r="J165" s="23" t="n">
        <x:f>IFERROR(I165/E165,0)</x:f>
        <x:v>0.86</x:v>
      </x:c>
      <x:c r="K165" s="21" t="str">
        <x:v>Yes</x:v>
      </x:c>
      <x:c r="L165" s="21" t="str">
        <x:v>No</x:v>
      </x:c>
      <x:c r="M165" s="21" t="str">
        <x:v>Same day / depends on portal</x:v>
      </x:c>
      <x:c r="N165" s="21" t="str">
        <x:v>As applicable</x:v>
      </x:c>
      <x:c r="O165" s="21" t="str"/>
      <x:c r="P165" s="21" t="str"/>
    </x:row>
    <x:row r="166">
      <x:c r="A166" s="21" t="n">
        <x:v>165</x:v>
      </x:c>
      <x:c r="B166" s="21" t="str">
        <x:v>Sarathi Smart Solutions</x:v>
      </x:c>
      <x:c r="C166" s="21" t="str">
        <x:v>Wi-Fi troubleshooting visit</x:v>
      </x:c>
      <x:c r="D166" s="22" t="n">
        <x:v>500</x:v>
      </x:c>
      <x:c r="E166" s="22" t="n">
        <x:v>500</x:v>
      </x:c>
      <x:c r="F166" s="22" t="str">
        <x:v>Per visit</x:v>
      </x:c>
      <x:c r="G166" s="22" t="str">
        <x:v>Parts extra</x:v>
      </x:c>
      <x:c r="H166" s="22" t="n">
        <x:v>100</x:v>
      </x:c>
      <x:c r="I166" s="22" t="n">
        <x:f>E166-H166</x:f>
        <x:v>400</x:v>
      </x:c>
      <x:c r="J166" s="23" t="n">
        <x:f>IFERROR(I166/E166,0)</x:f>
        <x:v>0.8</x:v>
      </x:c>
      <x:c r="K166" s="21" t="str">
        <x:v>Yes</x:v>
      </x:c>
      <x:c r="L166" s="21" t="str">
        <x:v>No</x:v>
      </x:c>
      <x:c r="M166" s="21" t="str">
        <x:v>Same day / depends on portal</x:v>
      </x:c>
      <x:c r="N166" s="21" t="str">
        <x:v>As applicable</x:v>
      </x:c>
      <x:c r="O166" s="21" t="str"/>
      <x:c r="P166" s="21" t="str"/>
    </x:row>
    <x:row r="167">
      <x:c r="A167" s="21" t="n">
        <x:v>166</x:v>
      </x:c>
      <x:c r="B167" s="21" t="str">
        <x:v>Sarathi Smart Solutions</x:v>
      </x:c>
      <x:c r="C167" s="21" t="str">
        <x:v>LAN point installation labour</x:v>
      </x:c>
      <x:c r="D167" s="22" t="n">
        <x:v>400</x:v>
      </x:c>
      <x:c r="E167" s="22" t="n">
        <x:v>400</x:v>
      </x:c>
      <x:c r="F167" s="22" t="str">
        <x:v>Per point</x:v>
      </x:c>
      <x:c r="G167" s="22" t="str">
        <x:v>Cable/material extra</x:v>
      </x:c>
      <x:c r="H167" s="22" t="n">
        <x:v>100</x:v>
      </x:c>
      <x:c r="I167" s="22" t="n">
        <x:f>E167-H167</x:f>
        <x:v>300</x:v>
      </x:c>
      <x:c r="J167" s="23" t="n">
        <x:f>IFERROR(I167/E167,0)</x:f>
        <x:v>0.75</x:v>
      </x:c>
      <x:c r="K167" s="21" t="str">
        <x:v>Yes</x:v>
      </x:c>
      <x:c r="L167" s="21" t="str">
        <x:v>No</x:v>
      </x:c>
      <x:c r="M167" s="21" t="str">
        <x:v>Same day / depends on portal</x:v>
      </x:c>
      <x:c r="N167" s="21" t="str">
        <x:v>As applicable</x:v>
      </x:c>
      <x:c r="O167" s="21" t="str"/>
      <x:c r="P167" s="21" t="str"/>
    </x:row>
    <x:row r="168">
      <x:c r="A168" s="21" t="n">
        <x:v>167</x:v>
      </x:c>
      <x:c r="B168" s="21" t="str">
        <x:v>Sarathi Smart Solutions</x:v>
      </x:c>
      <x:c r="C168" s="21" t="str">
        <x:v>Basic network setup – small office</x:v>
      </x:c>
      <x:c r="D168" s="22" t="n">
        <x:v>2000</x:v>
      </x:c>
      <x:c r="E168" s="22" t="n">
        <x:v>2000</x:v>
      </x:c>
      <x:c r="F168" s="22" t="str">
        <x:v>Starting from</x:v>
      </x:c>
      <x:c r="G168" s="22" t="str">
        <x:v>Hardware/cabling extra</x:v>
      </x:c>
      <x:c r="H168" s="22" t="n">
        <x:v>350</x:v>
      </x:c>
      <x:c r="I168" s="22" t="n">
        <x:f>E168-H168</x:f>
        <x:v>1650</x:v>
      </x:c>
      <x:c r="J168" s="23" t="n">
        <x:f>IFERROR(I168/E168,0)</x:f>
        <x:v>0.825</x:v>
      </x:c>
      <x:c r="K168" s="21" t="str">
        <x:v>Yes</x:v>
      </x:c>
      <x:c r="L168" s="21" t="str">
        <x:v>No</x:v>
      </x:c>
      <x:c r="M168" s="21" t="str">
        <x:v>Same day / depends on portal</x:v>
      </x:c>
      <x:c r="N168" s="21" t="str">
        <x:v>As applicable</x:v>
      </x:c>
      <x:c r="O168" s="21" t="str"/>
      <x:c r="P168" s="21" t="str"/>
    </x:row>
    <x:row r="169">
      <x:c r="A169" s="21" t="n">
        <x:v>168</x:v>
      </x:c>
      <x:c r="B169" s="21" t="str">
        <x:v>Sarathi Smart Solutions</x:v>
      </x:c>
      <x:c r="C169" s="21" t="str">
        <x:v>Biometric attendance installation</x:v>
      </x:c>
      <x:c r="D169" s="22" t="n">
        <x:v>1500</x:v>
      </x:c>
      <x:c r="E169" s="22" t="n">
        <x:v>1500</x:v>
      </x:c>
      <x:c r="F169" s="22" t="str">
        <x:v>Starting from</x:v>
      </x:c>
      <x:c r="G169" s="22" t="str">
        <x:v>Device/cabling extra</x:v>
      </x:c>
      <x:c r="H169" s="22" t="n">
        <x:v>250</x:v>
      </x:c>
      <x:c r="I169" s="22" t="n">
        <x:f>E169-H169</x:f>
        <x:v>1250</x:v>
      </x:c>
      <x:c r="J169" s="23" t="n">
        <x:f>IFERROR(I169/E169,0)</x:f>
        <x:v>0.8333333333333334</x:v>
      </x:c>
      <x:c r="K169" s="21" t="str">
        <x:v>Yes</x:v>
      </x:c>
      <x:c r="L169" s="21" t="str">
        <x:v>No</x:v>
      </x:c>
      <x:c r="M169" s="21" t="str">
        <x:v>Same day / depends on portal</x:v>
      </x:c>
      <x:c r="N169" s="21" t="str">
        <x:v>As applicable</x:v>
      </x:c>
      <x:c r="O169" s="21" t="str"/>
      <x:c r="P169" s="21" t="str"/>
    </x:row>
    <x:row r="170">
      <x:c r="A170" s="21" t="n">
        <x:v>169</x:v>
      </x:c>
      <x:c r="B170" s="21" t="str">
        <x:v>Sarathi Smart Solutions</x:v>
      </x:c>
      <x:c r="C170" s="21" t="str">
        <x:v>Access-control setup labour</x:v>
      </x:c>
      <x:c r="D170" s="22" t="n">
        <x:v>2500</x:v>
      </x:c>
      <x:c r="E170" s="22" t="n">
        <x:v>2500</x:v>
      </x:c>
      <x:c r="F170" s="22" t="str">
        <x:v>Starting from</x:v>
      </x:c>
      <x:c r="G170" s="22" t="str">
        <x:v>Hardware/cabling extra</x:v>
      </x:c>
      <x:c r="H170" s="22" t="n">
        <x:v>400</x:v>
      </x:c>
      <x:c r="I170" s="22" t="n">
        <x:f>E170-H170</x:f>
        <x:v>2100</x:v>
      </x:c>
      <x:c r="J170" s="23" t="n">
        <x:f>IFERROR(I170/E170,0)</x:f>
        <x:v>0.84</x:v>
      </x:c>
      <x:c r="K170" s="21" t="str">
        <x:v>Yes</x:v>
      </x:c>
      <x:c r="L170" s="21" t="str">
        <x:v>No</x:v>
      </x:c>
      <x:c r="M170" s="21" t="str">
        <x:v>Same day / depends on portal</x:v>
      </x:c>
      <x:c r="N170" s="21" t="str">
        <x:v>As applicable</x:v>
      </x:c>
      <x:c r="O170" s="21" t="str"/>
      <x:c r="P170" s="21" t="str"/>
    </x:row>
    <x:row r="171">
      <x:c r="A171" s="21" t="n">
        <x:v>170</x:v>
      </x:c>
      <x:c r="B171" s="21" t="str">
        <x:v>Sarathi Smart Solutions</x:v>
      </x:c>
      <x:c r="C171" s="21" t="str">
        <x:v>Smart lock installation labour</x:v>
      </x:c>
      <x:c r="D171" s="22" t="n">
        <x:v>1500</x:v>
      </x:c>
      <x:c r="E171" s="22" t="n">
        <x:v>1500</x:v>
      </x:c>
      <x:c r="F171" s="22" t="str">
        <x:v>Starting from</x:v>
      </x:c>
      <x:c r="G171" s="22" t="str">
        <x:v>Lock/hardware extra</x:v>
      </x:c>
      <x:c r="H171" s="22" t="n">
        <x:v>250</x:v>
      </x:c>
      <x:c r="I171" s="22" t="n">
        <x:f>E171-H171</x:f>
        <x:v>1250</x:v>
      </x:c>
      <x:c r="J171" s="23" t="n">
        <x:f>IFERROR(I171/E171,0)</x:f>
        <x:v>0.8333333333333334</x:v>
      </x:c>
      <x:c r="K171" s="21" t="str">
        <x:v>Yes</x:v>
      </x:c>
      <x:c r="L171" s="21" t="str">
        <x:v>No</x:v>
      </x:c>
      <x:c r="M171" s="21" t="str">
        <x:v>Same day / depends on portal</x:v>
      </x:c>
      <x:c r="N171" s="21" t="str">
        <x:v>As applicable</x:v>
      </x:c>
      <x:c r="O171" s="21" t="str"/>
      <x:c r="P171" s="21" t="str"/>
    </x:row>
    <x:row r="172">
      <x:c r="A172" s="21" t="n">
        <x:v>171</x:v>
      </x:c>
      <x:c r="B172" s="21" t="str">
        <x:v>Sarathi Smart Solutions</x:v>
      </x:c>
      <x:c r="C172" s="21" t="str">
        <x:v>Video doorbell installation labour</x:v>
      </x:c>
      <x:c r="D172" s="22" t="n">
        <x:v>800</x:v>
      </x:c>
      <x:c r="E172" s="22" t="n">
        <x:v>800</x:v>
      </x:c>
      <x:c r="F172" s="22" t="str">
        <x:v>Starting from</x:v>
      </x:c>
      <x:c r="G172" s="22" t="str">
        <x:v>Device/wiring extra</x:v>
      </x:c>
      <x:c r="H172" s="22" t="n">
        <x:v>150</x:v>
      </x:c>
      <x:c r="I172" s="22" t="n">
        <x:f>E172-H172</x:f>
        <x:v>650</x:v>
      </x:c>
      <x:c r="J172" s="23" t="n">
        <x:f>IFERROR(I172/E172,0)</x:f>
        <x:v>0.8125</x:v>
      </x:c>
      <x:c r="K172" s="21" t="str">
        <x:v>Yes</x:v>
      </x:c>
      <x:c r="L172" s="21" t="str">
        <x:v>No</x:v>
      </x:c>
      <x:c r="M172" s="21" t="str">
        <x:v>Same day / depends on portal</x:v>
      </x:c>
      <x:c r="N172" s="21" t="str">
        <x:v>As applicable</x:v>
      </x:c>
      <x:c r="O172" s="21" t="str"/>
      <x:c r="P172" s="21" t="str"/>
    </x:row>
    <x:row r="173">
      <x:c r="A173" s="21" t="n">
        <x:v>172</x:v>
      </x:c>
      <x:c r="B173" s="21" t="str">
        <x:v>Sarathi Smart Solutions</x:v>
      </x:c>
      <x:c r="C173" s="21" t="str">
        <x:v>Intercom installation labour</x:v>
      </x:c>
      <x:c r="D173" s="22" t="n">
        <x:v>1200</x:v>
      </x:c>
      <x:c r="E173" s="22" t="n">
        <x:v>1200</x:v>
      </x:c>
      <x:c r="F173" s="22" t="str">
        <x:v>Starting from</x:v>
      </x:c>
      <x:c r="G173" s="22" t="str">
        <x:v>Device/wiring extra</x:v>
      </x:c>
      <x:c r="H173" s="22" t="n">
        <x:v>220</x:v>
      </x:c>
      <x:c r="I173" s="22" t="n">
        <x:f>E173-H173</x:f>
        <x:v>980</x:v>
      </x:c>
      <x:c r="J173" s="23" t="n">
        <x:f>IFERROR(I173/E173,0)</x:f>
        <x:v>0.8166666666666667</x:v>
      </x:c>
      <x:c r="K173" s="21" t="str">
        <x:v>Yes</x:v>
      </x:c>
      <x:c r="L173" s="21" t="str">
        <x:v>No</x:v>
      </x:c>
      <x:c r="M173" s="21" t="str">
        <x:v>Same day / depends on portal</x:v>
      </x:c>
      <x:c r="N173" s="21" t="str">
        <x:v>As applicable</x:v>
      </x:c>
      <x:c r="O173" s="21" t="str"/>
      <x:c r="P173" s="21" t="str"/>
    </x:row>
    <x:row r="174">
      <x:c r="A174" s="21" t="n">
        <x:v>173</x:v>
      </x:c>
      <x:c r="B174" s="21" t="str">
        <x:v>Sarathi Smart Solutions</x:v>
      </x:c>
      <x:c r="C174" s="21" t="str">
        <x:v>Smart-home device setup</x:v>
      </x:c>
      <x:c r="D174" s="22" t="n">
        <x:v>800</x:v>
      </x:c>
      <x:c r="E174" s="22" t="n">
        <x:v>800</x:v>
      </x:c>
      <x:c r="F174" s="22" t="str">
        <x:v>Starting from</x:v>
      </x:c>
      <x:c r="G174" s="22" t="str">
        <x:v>Devices extra</x:v>
      </x:c>
      <x:c r="H174" s="22" t="n">
        <x:v>120</x:v>
      </x:c>
      <x:c r="I174" s="22" t="n">
        <x:f>E174-H174</x:f>
        <x:v>680</x:v>
      </x:c>
      <x:c r="J174" s="23" t="n">
        <x:f>IFERROR(I174/E174,0)</x:f>
        <x:v>0.85</x:v>
      </x:c>
      <x:c r="K174" s="21" t="str">
        <x:v>Yes</x:v>
      </x:c>
      <x:c r="L174" s="21" t="str">
        <x:v>No</x:v>
      </x:c>
      <x:c r="M174" s="21" t="str">
        <x:v>Same day / depends on portal</x:v>
      </x:c>
      <x:c r="N174" s="21" t="str">
        <x:v>As applicable</x:v>
      </x:c>
      <x:c r="O174" s="21" t="str"/>
      <x:c r="P174" s="21" t="str"/>
    </x:row>
    <x:row r="175">
      <x:c r="A175" s="21" t="n">
        <x:v>174</x:v>
      </x:c>
      <x:c r="B175" s="21" t="str">
        <x:v>Sarathi Smart Solutions</x:v>
      </x:c>
      <x:c r="C175" s="21" t="str">
        <x:v>AC installation coordination / service booking</x:v>
      </x:c>
      <x:c r="D175" s="22" t="n">
        <x:v>300</x:v>
      </x:c>
      <x:c r="E175" s="22" t="n">
        <x:v>300</x:v>
      </x:c>
      <x:c r="F175" s="22" t="str">
        <x:v>Starting from</x:v>
      </x:c>
      <x:c r="G175" s="22" t="str">
        <x:v>Technician/parts extra</x:v>
      </x:c>
      <x:c r="H175" s="22" t="n">
        <x:v>50</x:v>
      </x:c>
      <x:c r="I175" s="22" t="n">
        <x:f>E175-H175</x:f>
        <x:v>250</x:v>
      </x:c>
      <x:c r="J175" s="23" t="n">
        <x:f>IFERROR(I175/E175,0)</x:f>
        <x:v>0.8333333333333334</x:v>
      </x:c>
      <x:c r="K175" s="21" t="str">
        <x:v>Yes</x:v>
      </x:c>
      <x:c r="L175" s="21" t="str">
        <x:v>No</x:v>
      </x:c>
      <x:c r="M175" s="21" t="str">
        <x:v>Same day / depends on portal</x:v>
      </x:c>
      <x:c r="N175" s="21" t="str">
        <x:v>As applicable</x:v>
      </x:c>
      <x:c r="O175" s="21" t="str">
        <x:v>Final labour quoted by technician.</x:v>
      </x:c>
      <x:c r="P175" s="21" t="str"/>
    </x:row>
    <x:row r="176">
      <x:c r="A176" s="21" t="n">
        <x:v>175</x:v>
      </x:c>
      <x:c r="B176" s="21" t="str">
        <x:v>Sarathi Smart Solutions</x:v>
      </x:c>
      <x:c r="C176" s="21" t="str">
        <x:v>Refrigerator service coordination</x:v>
      </x:c>
      <x:c r="D176" s="22" t="n">
        <x:v>300</x:v>
      </x:c>
      <x:c r="E176" s="22" t="n">
        <x:v>300</x:v>
      </x:c>
      <x:c r="F176" s="22" t="str">
        <x:v>Starting from</x:v>
      </x:c>
      <x:c r="G176" s="22" t="str">
        <x:v>Technician/parts extra</x:v>
      </x:c>
      <x:c r="H176" s="22" t="n">
        <x:v>50</x:v>
      </x:c>
      <x:c r="I176" s="22" t="n">
        <x:f>E176-H176</x:f>
        <x:v>250</x:v>
      </x:c>
      <x:c r="J176" s="23" t="n">
        <x:f>IFERROR(I176/E176,0)</x:f>
        <x:v>0.8333333333333334</x:v>
      </x:c>
      <x:c r="K176" s="21" t="str">
        <x:v>Yes</x:v>
      </x:c>
      <x:c r="L176" s="21" t="str">
        <x:v>No</x:v>
      </x:c>
      <x:c r="M176" s="21" t="str">
        <x:v>Same day / depends on portal</x:v>
      </x:c>
      <x:c r="N176" s="21" t="str">
        <x:v>As applicable</x:v>
      </x:c>
      <x:c r="O176" s="21" t="str">
        <x:v>Final repair/parts quoted by technician.</x:v>
      </x:c>
      <x:c r="P176" s="21" t="str"/>
    </x:row>
    <x:row r="177">
      <x:c r="A177" s="21" t="n">
        <x:v>176</x:v>
      </x:c>
      <x:c r="B177" s="21" t="str">
        <x:v>Sarathi Smart Solutions</x:v>
      </x:c>
      <x:c r="C177" s="21" t="str">
        <x:v>CCTV complete 3-camera solution – quotation/BOM</x:v>
      </x:c>
      <x:c r="D177" s="22" t="n">
        <x:v>500</x:v>
      </x:c>
      <x:c r="E177" s="22" t="n">
        <x:v>500</x:v>
      </x:c>
      <x:c r="F177" s="22" t="str">
        <x:v>Per quotation</x:v>
      </x:c>
      <x:c r="G177" s="22" t="str">
        <x:v>Credited against project if booked</x:v>
      </x:c>
      <x:c r="H177" s="22" t="n">
        <x:v>60</x:v>
      </x:c>
      <x:c r="I177" s="22" t="n">
        <x:f>E177-H177</x:f>
        <x:v>440</x:v>
      </x:c>
      <x:c r="J177" s="23" t="n">
        <x:f>IFERROR(I177/E177,0)</x:f>
        <x:v>0.88</x:v>
      </x:c>
      <x:c r="K177" s="21" t="str">
        <x:v>Yes</x:v>
      </x:c>
      <x:c r="L177" s="21" t="str">
        <x:v>No</x:v>
      </x:c>
      <x:c r="M177" s="21" t="str">
        <x:v>Same day / depends on portal</x:v>
      </x:c>
      <x:c r="N177" s="21" t="str">
        <x:v>Site requirement + preferred brand</x:v>
      </x:c>
      <x:c r="O177" s="21" t="str"/>
      <x:c r="P177" s="21" t="str"/>
    </x:row>
    <x:row r="178">
      <x:c r="A178" s="21" t="n">
        <x:v>177</x:v>
      </x:c>
      <x:c r="B178" s="21" t="str">
        <x:v>Sarathi Smart Solutions</x:v>
      </x:c>
      <x:c r="C178" s="21" t="str">
        <x:v>Annual maintenance contract – CCTV small site</x:v>
      </x:c>
      <x:c r="D178" s="22" t="n">
        <x:v>3000</x:v>
      </x:c>
      <x:c r="E178" s="22" t="n">
        <x:v>3000</x:v>
      </x:c>
      <x:c r="F178" s="22" t="str">
        <x:v>Starting from</x:v>
      </x:c>
      <x:c r="G178" s="22" t="str">
        <x:v>Parts extra</x:v>
      </x:c>
      <x:c r="H178" s="22" t="n">
        <x:v>800</x:v>
      </x:c>
      <x:c r="I178" s="22" t="n">
        <x:f>E178-H178</x:f>
        <x:v>2200</x:v>
      </x:c>
      <x:c r="J178" s="23" t="n">
        <x:f>IFERROR(I178/E178,0)</x:f>
        <x:v>0.7333333333333333</x:v>
      </x:c>
      <x:c r="K178" s="21" t="str">
        <x:v>Yes</x:v>
      </x:c>
      <x:c r="L178" s="21" t="str">
        <x:v>No</x:v>
      </x:c>
      <x:c r="M178" s="21" t="str">
        <x:v>Same day / depends on portal</x:v>
      </x:c>
      <x:c r="N178" s="21" t="str">
        <x:v>Final scope/visit frequency to be stated in AMC</x:v>
      </x:c>
      <x:c r="O178" s="21" t="str"/>
      <x:c r="P178" s="21" t="str"/>
    </x:row>
  </x:sheetData>
  <x:conditionalFormatting sqref="L2:L178">
    <x:cfRule type="expression" dxfId="0" priority="1">
      <x:formula>L2="Yes"</x:formula>
    </x:cfRule>
  </x:conditionalFormatting>
  <x:conditionalFormatting sqref="J2:J178">
    <x:cfRule type="cellIs" dxfId="1" priority="2" operator="greaterThanOrEqual">
      <x:formula>0.75</x:formula>
    </x:cfRule>
  </x:conditionalFormatting>
  <x:conditionalFormatting sqref="E2:E178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{9C4FB682-8FB7-800B-8E2E-77F07303EA66}</x14:id>
        </x:ext>
      </x:extLst>
    </x:cfRule>
  </x:conditionalFormatting>
  <x:dataValidations count="3">
    <x:dataValidation type="list" sqref="K2:K178">
      <x:formula1>"Yes,No"</x:formula1>
    </x:dataValidation>
    <x:dataValidation type="list" sqref="L2:L178">
      <x:formula1>"Yes,No"</x:formula1>
    </x:dataValidation>
    <x:dataValidation type="list" sqref="F2:F178">
      <x:formula1>"Fixed,Starting from,Per page,Per card,Per file,Per set,Per photo,Per image,Per creative,Per SKU,Per session,Per visit,Per camera,Per router,Per point,Per system,Per job,Per sheet,First card,Package,Per quotation"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212624fc674e1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9C4FB682-8FB7-800B-8E2E-77F07303EA66}">
            <x14:dataBar gradient="1">
              <x14:cfvo type="min"/>
              <x14:cfvo type="max"/>
              <x14:fillColor rgb="FFA02B93"/>
            </x14:dataBar>
          </x14:cfRule>
          <xm:sqref>E2:E178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16" hidden="0" customWidth="1"/>
    <x:col min="4" max="4" width="16" hidden="0" customWidth="1"/>
    <x:col min="5" max="5" width="24" hidden="0" customWidth="1"/>
    <x:col min="6" max="6" width="42" hidden="0" customWidth="1"/>
  </x:cols>
  <x:sheetData>
    <x:row r="1" ht="32" customHeight="1">
      <x:c r="A1" s="31" t="str">
        <x:v>SARATHI DIGITAL SEVA KENDRA — CUSTOMER RATE CARD</x:v>
      </x:c>
      <x:c r="B1" s="31"/>
      <x:c r="C1" s="31"/>
      <x:c r="D1" s="31"/>
      <x:c r="E1" s="31"/>
      <x:c r="F1" s="31"/>
    </x:row>
    <x:row r="2" ht="34" customHeight="1">
      <x:c r="A2" s="38" t="str">
        <x:v>Service / assistance charges only. Government, portal, stamp, notary, courier, material and third-party fees are extra at actual wherever applicable.</x:v>
      </x:c>
      <x:c r="B2" s="38"/>
      <x:c r="C2" s="38"/>
      <x:c r="D2" s="38"/>
      <x:c r="E2" s="38"/>
      <x:c r="F2" s="38"/>
    </x:row>
    <x:row r="4" ht="28" customHeight="1">
      <x:c r="A4" s="6" t="str">
        <x:v>Category</x:v>
      </x:c>
      <x:c r="B4" s="6" t="str">
        <x:v>Service</x:v>
      </x:c>
      <x:c r="C4" s="6" t="str">
        <x:v>Customer Price (₹)</x:v>
      </x:c>
      <x:c r="D4" s="6" t="str">
        <x:v>Price Type</x:v>
      </x:c>
      <x:c r="E4" s="6" t="str">
        <x:v>Official / Other Fees</x:v>
      </x:c>
      <x:c r="F4" s="6" t="str">
        <x:v>Important Note</x:v>
      </x:c>
    </x:row>
    <x:row r="5">
      <x:c r="A5" s="12" t="str">
        <x:v>Government &amp; Citizen Services</x:v>
      </x:c>
      <x:c r="B5" s="12" t="str">
        <x:v>New PAN application assistance</x:v>
      </x:c>
      <x:c r="C5" s="44" t="n">
        <x:v>250</x:v>
      </x:c>
      <x:c r="D5" s="12" t="str">
        <x:v>Fixed</x:v>
      </x:c>
      <x:c r="E5" s="12" t="str">
        <x:v>Extra at actual</x:v>
      </x:c>
      <x:c r="F5" s="12" t="str">
        <x:v>Official PAN fee/provider charge extra.</x:v>
      </x:c>
    </x:row>
    <x:row r="6">
      <x:c r="A6" s="12" t="str">
        <x:v>Government &amp; Citizen Services</x:v>
      </x:c>
      <x:c r="B6" s="12" t="str">
        <x:v>PAN correction assistance</x:v>
      </x:c>
      <x:c r="C6" s="44" t="n">
        <x:v>300</x:v>
      </x:c>
      <x:c r="D6" s="12" t="str">
        <x:v>Fixed</x:v>
      </x:c>
      <x:c r="E6" s="12" t="str">
        <x:v>Extra at actual</x:v>
      </x:c>
      <x:c r="F6" s="12" t="str">
        <x:v>Application/documentation assistance; authority approval and eligibility apply.</x:v>
      </x:c>
    </x:row>
    <x:row r="7">
      <x:c r="A7" s="12" t="str">
        <x:v>Government &amp; Citizen Services</x:v>
      </x:c>
      <x:c r="B7" s="12" t="str">
        <x:v>PAN reprint / e-PAN assistance</x:v>
      </x:c>
      <x:c r="C7" s="44" t="n">
        <x:v>150</x:v>
      </x:c>
      <x:c r="D7" s="12" t="str">
        <x:v>Fixed</x:v>
      </x:c>
      <x:c r="E7" s="12" t="str">
        <x:v>Extra at actual</x:v>
      </x:c>
      <x:c r="F7" s="12" t="str">
        <x:v>Application/documentation assistance; authority approval and eligibility apply.</x:v>
      </x:c>
    </x:row>
    <x:row r="8">
      <x:c r="A8" s="12" t="str">
        <x:v>Government &amp; Citizen Services</x:v>
      </x:c>
      <x:c r="B8" s="12" t="str">
        <x:v>PAN–Aadhaar linking assistance</x:v>
      </x:c>
      <x:c r="C8" s="44" t="n">
        <x:v>200</x:v>
      </x:c>
      <x:c r="D8" s="12" t="str">
        <x:v>Fixed</x:v>
      </x:c>
      <x:c r="E8" s="12" t="str">
        <x:v>Extra at actual</x:v>
      </x:c>
      <x:c r="F8" s="12" t="str">
        <x:v>Application/documentation assistance; authority approval and eligibility apply.</x:v>
      </x:c>
    </x:row>
    <x:row r="9">
      <x:c r="A9" s="12" t="str">
        <x:v>Government &amp; Citizen Services</x:v>
      </x:c>
      <x:c r="B9" s="12" t="str">
        <x:v>e-Aadhaar download &amp; print assistance</x:v>
      </x:c>
      <x:c r="C9" s="44" t="n">
        <x:v>50</x:v>
      </x:c>
      <x:c r="D9" s="12" t="str">
        <x:v>Fixed</x:v>
      </x:c>
      <x:c r="E9" s="12" t="str">
        <x:v>Extra at actual</x:v>
      </x:c>
      <x:c r="F9" s="12" t="str">
        <x:v>Do not present as Aadhaar enrolment/update service unless authorized.</x:v>
      </x:c>
    </x:row>
    <x:row r="10">
      <x:c r="A10" s="12" t="str">
        <x:v>Government &amp; Citizen Services</x:v>
      </x:c>
      <x:c r="B10" s="12" t="str">
        <x:v>Aadhaar appointment / document guidance</x:v>
      </x:c>
      <x:c r="C10" s="44" t="n">
        <x:v>100</x:v>
      </x:c>
      <x:c r="D10" s="12" t="str">
        <x:v>Fixed</x:v>
      </x:c>
      <x:c r="E10" s="12" t="str">
        <x:v>Extra at actual</x:v>
      </x:c>
      <x:c r="F10" s="12" t="str">
        <x:v>Assistance only; update performed at authorized Aadhaar centre.</x:v>
      </x:c>
    </x:row>
    <x:row r="11">
      <x:c r="A11" s="12" t="str">
        <x:v>Government &amp; Citizen Services</x:v>
      </x:c>
      <x:c r="B11" s="12" t="str">
        <x:v>Aadhaar PVC-style print service</x:v>
      </x:c>
      <x:c r="C11" s="44" t="n">
        <x:v>100</x:v>
      </x:c>
      <x:c r="D11" s="12" t="str">
        <x:v>Per card</x:v>
      </x:c>
      <x:c r="E11" s="12" t="str">
        <x:v>Extra at actual</x:v>
      </x:c>
      <x:c r="F11" s="12" t="str">
        <x:v>Clearly label as print/PVC service; not UIDAI-issued PVC unless ordered through UIDAI.</x:v>
      </x:c>
    </x:row>
    <x:row r="12">
      <x:c r="A12" s="12" t="str">
        <x:v>Government &amp; Citizen Services</x:v>
      </x:c>
      <x:c r="B12" s="12" t="str">
        <x:v>Voter ID new application assistance</x:v>
      </x:c>
      <x:c r="C12" s="44" t="n">
        <x:v>200</x:v>
      </x:c>
      <x:c r="D12" s="12" t="str">
        <x:v>Fixed</x:v>
      </x:c>
      <x:c r="E12" s="12" t="str">
        <x:v>Extra at actual</x:v>
      </x:c>
      <x:c r="F12" s="12" t="str">
        <x:v>Application/documentation assistance; authority approval and eligibility apply.</x:v>
      </x:c>
    </x:row>
    <x:row r="13">
      <x:c r="A13" s="12" t="str">
        <x:v>Government &amp; Citizen Services</x:v>
      </x:c>
      <x:c r="B13" s="12" t="str">
        <x:v>Voter ID correction / update assistance</x:v>
      </x:c>
      <x:c r="C13" s="44" t="n">
        <x:v>200</x:v>
      </x:c>
      <x:c r="D13" s="12" t="str">
        <x:v>Fixed</x:v>
      </x:c>
      <x:c r="E13" s="12" t="str">
        <x:v>Extra at actual</x:v>
      </x:c>
      <x:c r="F13" s="12" t="str">
        <x:v>Application/documentation assistance; authority approval and eligibility apply.</x:v>
      </x:c>
    </x:row>
    <x:row r="14">
      <x:c r="A14" s="12" t="str">
        <x:v>Business Registration &amp; Compliance</x:v>
      </x:c>
      <x:c r="B14" s="12" t="str">
        <x:v>Udyam registration digital assistance</x:v>
      </x:c>
      <x:c r="C14" s="44" t="n">
        <x:v>300</x:v>
      </x:c>
      <x:c r="D14" s="12" t="str">
        <x:v>Fixed</x:v>
      </x:c>
      <x:c r="E14" s="12" t="str">
        <x:v>Extra at actual</x:v>
      </x:c>
      <x:c r="F14" s="12" t="str">
        <x:v>Udyam government registration is free; charge only for digital assistance.</x:v>
      </x:c>
    </x:row>
    <x:row r="15">
      <x:c r="A15" s="12" t="str">
        <x:v>Business Registration &amp; Compliance</x:v>
      </x:c>
      <x:c r="B15" s="12" t="str">
        <x:v>Udyam update / activity update assistance</x:v>
      </x:c>
      <x:c r="C15" s="44" t="n">
        <x:v>250</x:v>
      </x:c>
      <x:c r="D15" s="12" t="str">
        <x:v>Fixed</x:v>
      </x:c>
      <x:c r="E15" s="12" t="str">
        <x:v>Extra at actual</x:v>
      </x:c>
      <x:c r="F15" s="12" t="str">
        <x:v>Application/documentation assistance; authority approval and eligibility apply.</x:v>
      </x:c>
    </x:row>
    <x:row r="16">
      <x:c r="A16" s="12" t="str">
        <x:v>Business Registration &amp; Compliance</x:v>
      </x:c>
      <x:c r="B16" s="12" t="str">
        <x:v>Gumasta / Shop Act intimation assistance</x:v>
      </x:c>
      <x:c r="C16" s="44" t="n">
        <x:v>500</x:v>
      </x:c>
      <x:c r="D16" s="12" t="str">
        <x:v>Starting from</x:v>
      </x:c>
      <x:c r="E16" s="12" t="str">
        <x:v>Extra at actual</x:v>
      </x:c>
      <x:c r="F16" s="12" t="str">
        <x:v>Application/documentation assistance; authority approval and eligibility apply.</x:v>
      </x:c>
    </x:row>
    <x:row r="17">
      <x:c r="A17" s="12" t="str">
        <x:v>Business Registration &amp; Compliance</x:v>
      </x:c>
      <x:c r="B17" s="12" t="str">
        <x:v>Shop Act registration assistance</x:v>
      </x:c>
      <x:c r="C17" s="44" t="n">
        <x:v>800</x:v>
      </x:c>
      <x:c r="D17" s="12" t="str">
        <x:v>Starting from</x:v>
      </x:c>
      <x:c r="E17" s="12" t="str">
        <x:v>Extra at actual</x:v>
      </x:c>
      <x:c r="F17" s="12" t="str">
        <x:v>Application/documentation assistance; authority approval and eligibility apply.</x:v>
      </x:c>
    </x:row>
    <x:row r="18">
      <x:c r="A18" s="12" t="str">
        <x:v>Business Registration &amp; Compliance</x:v>
      </x:c>
      <x:c r="B18" s="12" t="str">
        <x:v>GST new registration assistance</x:v>
      </x:c>
      <x:c r="C18" s="44" t="n">
        <x:v>1200</x:v>
      </x:c>
      <x:c r="D18" s="12" t="str">
        <x:v>Starting from</x:v>
      </x:c>
      <x:c r="E18" s="12" t="str">
        <x:v>Extra at actual</x:v>
      </x:c>
      <x:c r="F18" s="12" t="str">
        <x:v>Application/documentation assistance; authority approval and eligibility apply.</x:v>
      </x:c>
    </x:row>
    <x:row r="19">
      <x:c r="A19" s="12" t="str">
        <x:v>Business Registration &amp; Compliance</x:v>
      </x:c>
      <x:c r="B19" s="12" t="str">
        <x:v>GST amendment assistance</x:v>
      </x:c>
      <x:c r="C19" s="44" t="n">
        <x:v>600</x:v>
      </x:c>
      <x:c r="D19" s="12" t="str">
        <x:v>Starting from</x:v>
      </x:c>
      <x:c r="E19" s="12" t="str">
        <x:v>Extra at actual</x:v>
      </x:c>
      <x:c r="F19" s="12" t="str">
        <x:v>Application/documentation assistance; authority approval and eligibility apply.</x:v>
      </x:c>
    </x:row>
    <x:row r="20">
      <x:c r="A20" s="12" t="str">
        <x:v>Business Registration &amp; Compliance</x:v>
      </x:c>
      <x:c r="B20" s="12" t="str">
        <x:v>GST cancellation assistance</x:v>
      </x:c>
      <x:c r="C20" s="44" t="n">
        <x:v>800</x:v>
      </x:c>
      <x:c r="D20" s="12" t="str">
        <x:v>Starting from</x:v>
      </x:c>
      <x:c r="E20" s="12" t="str">
        <x:v>Extra at actual</x:v>
      </x:c>
      <x:c r="F20" s="12" t="str">
        <x:v>Application/documentation assistance; authority approval and eligibility apply.</x:v>
      </x:c>
    </x:row>
    <x:row r="21">
      <x:c r="A21" s="12" t="str">
        <x:v>Business Registration &amp; Compliance</x:v>
      </x:c>
      <x:c r="B21" s="12" t="str">
        <x:v>GST LUT application assistance</x:v>
      </x:c>
      <x:c r="C21" s="44" t="n">
        <x:v>500</x:v>
      </x:c>
      <x:c r="D21" s="12" t="str">
        <x:v>Fixed</x:v>
      </x:c>
      <x:c r="E21" s="12" t="str">
        <x:v>Extra at actual</x:v>
      </x:c>
      <x:c r="F21" s="12" t="str">
        <x:v>Application/documentation assistance; authority approval and eligibility apply.</x:v>
      </x:c>
    </x:row>
    <x:row r="22">
      <x:c r="A22" s="12" t="str">
        <x:v>Business Registration &amp; Compliance</x:v>
      </x:c>
      <x:c r="B22" s="12" t="str">
        <x:v>GST registration certificate download / basic portal help</x:v>
      </x:c>
      <x:c r="C22" s="44" t="n">
        <x:v>200</x:v>
      </x:c>
      <x:c r="D22" s="12" t="str">
        <x:v>Fixed</x:v>
      </x:c>
      <x:c r="E22" s="12" t="str">
        <x:v>Extra at actual</x:v>
      </x:c>
      <x:c r="F22" s="12" t="str">
        <x:v>Application/documentation assistance; authority approval and eligibility apply.</x:v>
      </x:c>
    </x:row>
    <x:row r="23">
      <x:c r="A23" s="12" t="str">
        <x:v>Pharmacy &amp; Healthcare</x:v>
      </x:c>
      <x:c r="B23" s="12" t="str">
        <x:v>Retail drug licence application documentation assistance</x:v>
      </x:c>
      <x:c r="C23" s="44" t="n">
        <x:v>2000</x:v>
      </x:c>
      <x:c r="D23" s="12" t="str">
        <x:v>Starting from</x:v>
      </x:c>
      <x:c r="E23" s="12" t="str">
        <x:v>Extra at actual</x:v>
      </x:c>
      <x:c r="F23" s="12" t="str">
        <x:v>Licence issued by authority; eligibility/inspection requirements apply.</x:v>
      </x:c>
    </x:row>
    <x:row r="24">
      <x:c r="A24" s="12" t="str">
        <x:v>Pharmacy &amp; Healthcare</x:v>
      </x:c>
      <x:c r="B24" s="12" t="str">
        <x:v>Wholesale drug licence application documentation assistance</x:v>
      </x:c>
      <x:c r="C24" s="44" t="n">
        <x:v>2500</x:v>
      </x:c>
      <x:c r="D24" s="12" t="str">
        <x:v>Starting from</x:v>
      </x:c>
      <x:c r="E24" s="12" t="str">
        <x:v>Extra at actual</x:v>
      </x:c>
      <x:c r="F24" s="12" t="str">
        <x:v>Application/documentation assistance; authority approval and eligibility apply.</x:v>
      </x:c>
    </x:row>
    <x:row r="25">
      <x:c r="A25" s="12" t="str">
        <x:v>Pharmacy &amp; Healthcare</x:v>
      </x:c>
      <x:c r="B25" s="12" t="str">
        <x:v>Retail + wholesale drug licence documentation package</x:v>
      </x:c>
      <x:c r="C25" s="44" t="n">
        <x:v>3500</x:v>
      </x:c>
      <x:c r="D25" s="12" t="str">
        <x:v>Starting from</x:v>
      </x:c>
      <x:c r="E25" s="12" t="str">
        <x:v>Extra at actual</x:v>
      </x:c>
      <x:c r="F25" s="12" t="str">
        <x:v>Application/documentation assistance; authority approval and eligibility apply.</x:v>
      </x:c>
    </x:row>
    <x:row r="26">
      <x:c r="A26" s="12" t="str">
        <x:v>Pharmacy &amp; Healthcare</x:v>
      </x:c>
      <x:c r="B26" s="12" t="str">
        <x:v>Drug licence amendment assistance</x:v>
      </x:c>
      <x:c r="C26" s="44" t="n">
        <x:v>1000</x:v>
      </x:c>
      <x:c r="D26" s="12" t="str">
        <x:v>Starting from</x:v>
      </x:c>
      <x:c r="E26" s="12" t="str">
        <x:v>Extra at actual</x:v>
      </x:c>
      <x:c r="F26" s="12" t="str">
        <x:v>Application/documentation assistance; authority approval and eligibility apply.</x:v>
      </x:c>
    </x:row>
    <x:row r="27">
      <x:c r="A27" s="12" t="str">
        <x:v>Pharmacy &amp; Healthcare</x:v>
      </x:c>
      <x:c r="B27" s="12" t="str">
        <x:v>Drug licence renewal / retention assistance</x:v>
      </x:c>
      <x:c r="C27" s="44" t="n">
        <x:v>1000</x:v>
      </x:c>
      <x:c r="D27" s="12" t="str">
        <x:v>Starting from</x:v>
      </x:c>
      <x:c r="E27" s="12" t="str">
        <x:v>Extra at actual</x:v>
      </x:c>
      <x:c r="F27" s="12" t="str">
        <x:v>Application/documentation assistance; authority approval and eligibility apply.</x:v>
      </x:c>
    </x:row>
    <x:row r="28">
      <x:c r="A28" s="12" t="str">
        <x:v>Pharmacy &amp; Healthcare</x:v>
      </x:c>
      <x:c r="B28" s="12" t="str">
        <x:v>Change of pharmacist documentation assistance</x:v>
      </x:c>
      <x:c r="C28" s="44" t="n">
        <x:v>800</x:v>
      </x:c>
      <x:c r="D28" s="12" t="str">
        <x:v>Starting from</x:v>
      </x:c>
      <x:c r="E28" s="12" t="str">
        <x:v>Extra at actual</x:v>
      </x:c>
      <x:c r="F28" s="12" t="str">
        <x:v>Application/documentation assistance; authority approval and eligibility apply.</x:v>
      </x:c>
    </x:row>
    <x:row r="29">
      <x:c r="A29" s="12" t="str">
        <x:v>Pharmacy &amp; Healthcare</x:v>
      </x:c>
      <x:c r="B29" s="12" t="str">
        <x:v>Change of premises / address documentation assistance</x:v>
      </x:c>
      <x:c r="C29" s="44" t="n">
        <x:v>1500</x:v>
      </x:c>
      <x:c r="D29" s="12" t="str">
        <x:v>Starting from</x:v>
      </x:c>
      <x:c r="E29" s="12" t="str">
        <x:v>Extra at actual</x:v>
      </x:c>
      <x:c r="F29" s="12" t="str">
        <x:v>Application/documentation assistance; authority approval and eligibility apply.</x:v>
      </x:c>
    </x:row>
    <x:row r="30">
      <x:c r="A30" s="12" t="str">
        <x:v>Pharmacy &amp; Healthcare</x:v>
      </x:c>
      <x:c r="B30" s="12" t="str">
        <x:v>Duplicate drug licence documentation assistance</x:v>
      </x:c>
      <x:c r="C30" s="44" t="n">
        <x:v>500</x:v>
      </x:c>
      <x:c r="D30" s="12" t="str">
        <x:v>Starting from</x:v>
      </x:c>
      <x:c r="E30" s="12" t="str">
        <x:v>Extra at actual</x:v>
      </x:c>
      <x:c r="F30" s="12" t="str">
        <x:v>Application/documentation assistance; authority approval and eligibility apply.</x:v>
      </x:c>
    </x:row>
    <x:row r="31">
      <x:c r="A31" s="12" t="str">
        <x:v>Pharmacy &amp; Healthcare</x:v>
      </x:c>
      <x:c r="B31" s="12" t="str">
        <x:v>Pharmacist new registration application assistance</x:v>
      </x:c>
      <x:c r="C31" s="44" t="n">
        <x:v>700</x:v>
      </x:c>
      <x:c r="D31" s="12" t="str">
        <x:v>Starting from</x:v>
      </x:c>
      <x:c r="E31" s="12" t="str">
        <x:v>Extra at actual</x:v>
      </x:c>
      <x:c r="F31" s="12" t="str">
        <x:v>Application/documentation assistance; authority approval and eligibility apply.</x:v>
      </x:c>
    </x:row>
    <x:row r="32">
      <x:c r="A32" s="12" t="str">
        <x:v>Food, Restaurant &amp; Hospitality</x:v>
      </x:c>
      <x:c r="B32" s="12" t="str">
        <x:v>FSSAI Basic Registration assistance</x:v>
      </x:c>
      <x:c r="C32" s="44" t="n">
        <x:v>800</x:v>
      </x:c>
      <x:c r="D32" s="12" t="str">
        <x:v>Starting from</x:v>
      </x:c>
      <x:c r="E32" s="12" t="str">
        <x:v>Extra at actual</x:v>
      </x:c>
      <x:c r="F32" s="12" t="str">
        <x:v>FoSCoS government fee extra.</x:v>
      </x:c>
    </x:row>
    <x:row r="33">
      <x:c r="A33" s="12" t="str">
        <x:v>Food, Restaurant &amp; Hospitality</x:v>
      </x:c>
      <x:c r="B33" s="12" t="str">
        <x:v>FSSAI State Licence assistance</x:v>
      </x:c>
      <x:c r="C33" s="44" t="n">
        <x:v>1500</x:v>
      </x:c>
      <x:c r="D33" s="12" t="str">
        <x:v>Starting from</x:v>
      </x:c>
      <x:c r="E33" s="12" t="str">
        <x:v>Extra at actual</x:v>
      </x:c>
      <x:c r="F33" s="12" t="str">
        <x:v>Application/documentation assistance; authority approval and eligibility apply.</x:v>
      </x:c>
    </x:row>
    <x:row r="34">
      <x:c r="A34" s="12" t="str">
        <x:v>Food, Restaurant &amp; Hospitality</x:v>
      </x:c>
      <x:c r="B34" s="12" t="str">
        <x:v>FSSAI Central Licence assistance</x:v>
      </x:c>
      <x:c r="C34" s="44" t="n">
        <x:v>2500</x:v>
      </x:c>
      <x:c r="D34" s="12" t="str">
        <x:v>Starting from</x:v>
      </x:c>
      <x:c r="E34" s="12" t="str">
        <x:v>Extra at actual</x:v>
      </x:c>
      <x:c r="F34" s="12" t="str">
        <x:v>Application/documentation assistance; authority approval and eligibility apply.</x:v>
      </x:c>
    </x:row>
    <x:row r="35">
      <x:c r="A35" s="12" t="str">
        <x:v>Food, Restaurant &amp; Hospitality</x:v>
      </x:c>
      <x:c r="B35" s="12" t="str">
        <x:v>FSSAI renewal assistance</x:v>
      </x:c>
      <x:c r="C35" s="44" t="n">
        <x:v>700</x:v>
      </x:c>
      <x:c r="D35" s="12" t="str">
        <x:v>Starting from</x:v>
      </x:c>
      <x:c r="E35" s="12" t="str">
        <x:v>Extra at actual</x:v>
      </x:c>
      <x:c r="F35" s="12" t="str">
        <x:v>Application/documentation assistance; authority approval and eligibility apply.</x:v>
      </x:c>
    </x:row>
    <x:row r="36">
      <x:c r="A36" s="12" t="str">
        <x:v>Food, Restaurant &amp; Hospitality</x:v>
      </x:c>
      <x:c r="B36" s="12" t="str">
        <x:v>FSSAI modification assistance</x:v>
      </x:c>
      <x:c r="C36" s="44" t="n">
        <x:v>800</x:v>
      </x:c>
      <x:c r="D36" s="12" t="str">
        <x:v>Starting from</x:v>
      </x:c>
      <x:c r="E36" s="12" t="str">
        <x:v>Extra at actual</x:v>
      </x:c>
      <x:c r="F36" s="12" t="str">
        <x:v>Application/documentation assistance; authority approval and eligibility apply.</x:v>
      </x:c>
    </x:row>
    <x:row r="37">
      <x:c r="A37" s="12" t="str">
        <x:v>Food, Restaurant &amp; Hospitality</x:v>
      </x:c>
      <x:c r="B37" s="12" t="str">
        <x:v>Cloud kitchen startup documentation package</x:v>
      </x:c>
      <x:c r="C37" s="44" t="n">
        <x:v>3500</x:v>
      </x:c>
      <x:c r="D37" s="12" t="str">
        <x:v>Starting from</x:v>
      </x:c>
      <x:c r="E37" s="12" t="str">
        <x:v>Extra at actual</x:v>
      </x:c>
      <x:c r="F37" s="12" t="str">
        <x:v>Authority fees extra.</x:v>
      </x:c>
    </x:row>
    <x:row r="38">
      <x:c r="A38" s="12" t="str">
        <x:v>Food, Restaurant &amp; Hospitality</x:v>
      </x:c>
      <x:c r="B38" s="12" t="str">
        <x:v>Restaurant startup documentation package</x:v>
      </x:c>
      <x:c r="C38" s="44" t="n">
        <x:v>4999</x:v>
      </x:c>
      <x:c r="D38" s="12" t="str">
        <x:v>Starting from</x:v>
      </x:c>
      <x:c r="E38" s="12" t="str">
        <x:v>Extra at actual</x:v>
      </x:c>
      <x:c r="F38" s="12" t="str">
        <x:v>Application/documentation assistance; authority approval and eligibility apply.</x:v>
      </x:c>
    </x:row>
    <x:row r="39">
      <x:c r="A39" s="12" t="str">
        <x:v>Food, Restaurant &amp; Hospitality</x:v>
      </x:c>
      <x:c r="B39" s="12" t="str">
        <x:v>Menu design – single / small menu</x:v>
      </x:c>
      <x:c r="C39" s="44" t="n">
        <x:v>600</x:v>
      </x:c>
      <x:c r="D39" s="12" t="str">
        <x:v>Starting from</x:v>
      </x:c>
      <x:c r="E39" s="12" t="str">
        <x:v>Extra at actual</x:v>
      </x:c>
      <x:c r="F39" s="12" t="str"/>
    </x:row>
    <x:row r="40">
      <x:c r="A40" s="12" t="str">
        <x:v>Food, Restaurant &amp; Hospitality</x:v>
      </x:c>
      <x:c r="B40" s="12" t="str">
        <x:v>QR menu setup</x:v>
      </x:c>
      <x:c r="C40" s="44" t="n">
        <x:v>500</x:v>
      </x:c>
      <x:c r="D40" s="12" t="str">
        <x:v>Starting from</x:v>
      </x:c>
      <x:c r="E40" s="12" t="str">
        <x:v>Extra at actual</x:v>
      </x:c>
      <x:c r="F40" s="12" t="str"/>
    </x:row>
    <x:row r="41">
      <x:c r="A41" s="12" t="str">
        <x:v>Property &amp; Real Estate</x:v>
      </x:c>
      <x:c r="B41" s="12" t="str">
        <x:v>MahaRERA agent registration documentation assistance</x:v>
      </x:c>
      <x:c r="C41" s="44" t="n">
        <x:v>2500</x:v>
      </x:c>
      <x:c r="D41" s="12" t="str">
        <x:v>Starting from</x:v>
      </x:c>
      <x:c r="E41" s="12" t="str">
        <x:v>Extra at actual</x:v>
      </x:c>
      <x:c r="F41" s="12" t="str">
        <x:v>MahaRERA statutory fee extra.</x:v>
      </x:c>
    </x:row>
    <x:row r="42">
      <x:c r="A42" s="12" t="str">
        <x:v>Property &amp; Real Estate</x:v>
      </x:c>
      <x:c r="B42" s="12" t="str">
        <x:v>MahaRERA agent renewal documentation assistance</x:v>
      </x:c>
      <x:c r="C42" s="44" t="n">
        <x:v>2000</x:v>
      </x:c>
      <x:c r="D42" s="12" t="str">
        <x:v>Starting from</x:v>
      </x:c>
      <x:c r="E42" s="12" t="str">
        <x:v>Extra at actual</x:v>
      </x:c>
      <x:c r="F42" s="12" t="str">
        <x:v>Application/documentation assistance; authority approval and eligibility apply.</x:v>
      </x:c>
    </x:row>
    <x:row r="43">
      <x:c r="A43" s="12" t="str">
        <x:v>Property &amp; Real Estate</x:v>
      </x:c>
      <x:c r="B43" s="12" t="str">
        <x:v>Property rent agreement data-preparation assistance</x:v>
      </x:c>
      <x:c r="C43" s="44" t="n">
        <x:v>500</x:v>
      </x:c>
      <x:c r="D43" s="12" t="str">
        <x:v>Starting from</x:v>
      </x:c>
      <x:c r="E43" s="12" t="str">
        <x:v>Extra at actual</x:v>
      </x:c>
      <x:c r="F43" s="12" t="str">
        <x:v>Stamp duty/registration/service-provider charges extra.</x:v>
      </x:c>
    </x:row>
    <x:row r="44">
      <x:c r="A44" s="12" t="str">
        <x:v>Property &amp; Real Estate</x:v>
      </x:c>
      <x:c r="B44" s="12" t="str">
        <x:v>Leave &amp; licence document checklist assistance</x:v>
      </x:c>
      <x:c r="C44" s="44" t="n">
        <x:v>400</x:v>
      </x:c>
      <x:c r="D44" s="12" t="str">
        <x:v>Fixed</x:v>
      </x:c>
      <x:c r="E44" s="12" t="str">
        <x:v>Extra at actual</x:v>
      </x:c>
      <x:c r="F44" s="12" t="str">
        <x:v>Application/documentation assistance; authority approval and eligibility apply.</x:v>
      </x:c>
    </x:row>
    <x:row r="45">
      <x:c r="A45" s="12" t="str">
        <x:v>Property &amp; Real Estate</x:v>
      </x:c>
      <x:c r="B45" s="12" t="str">
        <x:v>Society NOC / request letter drafting</x:v>
      </x:c>
      <x:c r="C45" s="44" t="n">
        <x:v>300</x:v>
      </x:c>
      <x:c r="D45" s="12" t="str">
        <x:v>Starting from</x:v>
      </x:c>
      <x:c r="E45" s="12" t="str">
        <x:v>Extra at actual</x:v>
      </x:c>
      <x:c r="F45" s="12" t="str"/>
    </x:row>
    <x:row r="46">
      <x:c r="A46" s="12" t="str">
        <x:v>Property &amp; Real Estate</x:v>
      </x:c>
      <x:c r="B46" s="12" t="str">
        <x:v>Property name-change application drafting</x:v>
      </x:c>
      <x:c r="C46" s="44" t="n">
        <x:v>500</x:v>
      </x:c>
      <x:c r="D46" s="12" t="str">
        <x:v>Starting from</x:v>
      </x:c>
      <x:c r="E46" s="12" t="str">
        <x:v>Extra at actual</x:v>
      </x:c>
      <x:c r="F46" s="12" t="str">
        <x:v>Application/documentation assistance; authority approval and eligibility apply.</x:v>
      </x:c>
    </x:row>
    <x:row r="47">
      <x:c r="A47" s="12" t="str">
        <x:v>Property &amp; Real Estate</x:v>
      </x:c>
      <x:c r="B47" s="12" t="str">
        <x:v>Property document scanning &amp; indexed PDF folder</x:v>
      </x:c>
      <x:c r="C47" s="44" t="n">
        <x:v>500</x:v>
      </x:c>
      <x:c r="D47" s="12" t="str">
        <x:v>Starting from</x:v>
      </x:c>
      <x:c r="E47" s="12" t="str">
        <x:v>Extra at actual</x:v>
      </x:c>
      <x:c r="F47" s="12" t="str"/>
    </x:row>
    <x:row r="48">
      <x:c r="A48" s="12" t="str">
        <x:v>Property &amp; Real Estate</x:v>
      </x:c>
      <x:c r="B48" s="12" t="str">
        <x:v>Real-estate broker digital business setup</x:v>
      </x:c>
      <x:c r="C48" s="44" t="n">
        <x:v>2500</x:v>
      </x:c>
      <x:c r="D48" s="12" t="str">
        <x:v>Starting from</x:v>
      </x:c>
      <x:c r="E48" s="12" t="str">
        <x:v>Extra at actual</x:v>
      </x:c>
      <x:c r="F48" s="12" t="str"/>
    </x:row>
    <x:row r="49">
      <x:c r="A49" s="12" t="str">
        <x:v>Property &amp; Real Estate</x:v>
      </x:c>
      <x:c r="B49" s="12" t="str">
        <x:v>Property listing poster / creative</x:v>
      </x:c>
      <x:c r="C49" s="44" t="n">
        <x:v>300</x:v>
      </x:c>
      <x:c r="D49" s="12" t="str">
        <x:v>Per creative</x:v>
      </x:c>
      <x:c r="E49" s="12" t="str">
        <x:v>Extra at actual</x:v>
      </x:c>
      <x:c r="F49" s="12" t="str"/>
    </x:row>
    <x:row r="50">
      <x:c r="A50" s="12" t="str">
        <x:v>E-commerce &amp; Import-Export</x:v>
      </x:c>
      <x:c r="B50" s="12" t="str">
        <x:v>Amazon seller account setup assistance</x:v>
      </x:c>
      <x:c r="C50" s="44" t="n">
        <x:v>1000</x:v>
      </x:c>
      <x:c r="D50" s="12" t="str">
        <x:v>Starting from</x:v>
      </x:c>
      <x:c r="E50" s="12" t="str">
        <x:v>Extra at actual</x:v>
      </x:c>
      <x:c r="F50" s="12" t="str">
        <x:v>Application/documentation assistance; authority approval and eligibility apply.</x:v>
      </x:c>
    </x:row>
    <x:row r="51">
      <x:c r="A51" s="12" t="str">
        <x:v>E-commerce &amp; Import-Export</x:v>
      </x:c>
      <x:c r="B51" s="12" t="str">
        <x:v>Flipkart seller account setup assistance</x:v>
      </x:c>
      <x:c r="C51" s="44" t="n">
        <x:v>1000</x:v>
      </x:c>
      <x:c r="D51" s="12" t="str">
        <x:v>Starting from</x:v>
      </x:c>
      <x:c r="E51" s="12" t="str">
        <x:v>Extra at actual</x:v>
      </x:c>
      <x:c r="F51" s="12" t="str">
        <x:v>Application/documentation assistance; authority approval and eligibility apply.</x:v>
      </x:c>
    </x:row>
    <x:row r="52">
      <x:c r="A52" s="12" t="str">
        <x:v>E-commerce &amp; Import-Export</x:v>
      </x:c>
      <x:c r="B52" s="12" t="str">
        <x:v>Meesho seller account setup assistance</x:v>
      </x:c>
      <x:c r="C52" s="44" t="n">
        <x:v>800</x:v>
      </x:c>
      <x:c r="D52" s="12" t="str">
        <x:v>Starting from</x:v>
      </x:c>
      <x:c r="E52" s="12" t="str">
        <x:v>Extra at actual</x:v>
      </x:c>
      <x:c r="F52" s="12" t="str">
        <x:v>Application/documentation assistance; authority approval and eligibility apply.</x:v>
      </x:c>
    </x:row>
    <x:row r="53">
      <x:c r="A53" s="12" t="str">
        <x:v>E-commerce &amp; Import-Export</x:v>
      </x:c>
      <x:c r="B53" s="12" t="str">
        <x:v>Marketplace product listing – basic</x:v>
      </x:c>
      <x:c r="C53" s="44" t="n">
        <x:v>150</x:v>
      </x:c>
      <x:c r="D53" s="12" t="str">
        <x:v>Per SKU</x:v>
      </x:c>
      <x:c r="E53" s="12" t="str">
        <x:v>Extra at actual</x:v>
      </x:c>
      <x:c r="F53" s="12" t="str"/>
    </x:row>
    <x:row r="54">
      <x:c r="A54" s="12" t="str">
        <x:v>E-commerce &amp; Import-Export</x:v>
      </x:c>
      <x:c r="B54" s="12" t="str">
        <x:v>Marketplace optimized product listing</x:v>
      </x:c>
      <x:c r="C54" s="44" t="n">
        <x:v>300</x:v>
      </x:c>
      <x:c r="D54" s="12" t="str">
        <x:v>Per SKU</x:v>
      </x:c>
      <x:c r="E54" s="12" t="str">
        <x:v>Extra at actual</x:v>
      </x:c>
      <x:c r="F54" s="12" t="str"/>
    </x:row>
    <x:row r="55">
      <x:c r="A55" s="12" t="str">
        <x:v>E-commerce &amp; Import-Export</x:v>
      </x:c>
      <x:c r="B55" s="12" t="str">
        <x:v>10-product seller listing package</x:v>
      </x:c>
      <x:c r="C55" s="44" t="n">
        <x:v>2000</x:v>
      </x:c>
      <x:c r="D55" s="12" t="str">
        <x:v>Package</x:v>
      </x:c>
      <x:c r="E55" s="12" t="str">
        <x:v>Extra at actual</x:v>
      </x:c>
      <x:c r="F55" s="12" t="str"/>
    </x:row>
    <x:row r="56">
      <x:c r="A56" s="12" t="str">
        <x:v>E-commerce &amp; Import-Export</x:v>
      </x:c>
      <x:c r="B56" s="12" t="str">
        <x:v>Product catalogue PDF</x:v>
      </x:c>
      <x:c r="C56" s="44" t="n">
        <x:v>1500</x:v>
      </x:c>
      <x:c r="D56" s="12" t="str">
        <x:v>Starting from</x:v>
      </x:c>
      <x:c r="E56" s="12" t="str">
        <x:v>Extra at actual</x:v>
      </x:c>
      <x:c r="F56" s="12" t="str"/>
    </x:row>
    <x:row r="57">
      <x:c r="A57" s="12" t="str">
        <x:v>E-commerce &amp; Import-Export</x:v>
      </x:c>
      <x:c r="B57" s="12" t="str">
        <x:v>Product image cleanup / white background</x:v>
      </x:c>
      <x:c r="C57" s="44" t="n">
        <x:v>100</x:v>
      </x:c>
      <x:c r="D57" s="12" t="str">
        <x:v>Per image</x:v>
      </x:c>
      <x:c r="E57" s="12" t="str">
        <x:v>Extra at actual</x:v>
      </x:c>
      <x:c r="F57" s="12" t="str"/>
    </x:row>
    <x:row r="58">
      <x:c r="A58" s="12" t="str">
        <x:v>E-commerce &amp; Import-Export</x:v>
      </x:c>
      <x:c r="B58" s="12" t="str">
        <x:v>Export quotation / proforma invoice template</x:v>
      </x:c>
      <x:c r="C58" s="44" t="n">
        <x:v>600</x:v>
      </x:c>
      <x:c r="D58" s="12" t="str">
        <x:v>Starting from</x:v>
      </x:c>
      <x:c r="E58" s="12" t="str">
        <x:v>Extra at actual</x:v>
      </x:c>
      <x:c r="F58" s="12" t="str"/>
    </x:row>
    <x:row r="59">
      <x:c r="A59" s="12" t="str">
        <x:v>Student &amp; Career Services</x:v>
      </x:c>
      <x:c r="B59" s="12" t="str">
        <x:v>ABC ID creation assistance</x:v>
      </x:c>
      <x:c r="C59" s="44" t="n">
        <x:v>100</x:v>
      </x:c>
      <x:c r="D59" s="12" t="str">
        <x:v>Fixed</x:v>
      </x:c>
      <x:c r="E59" s="12" t="str">
        <x:v>Extra at actual</x:v>
      </x:c>
      <x:c r="F59" s="12" t="str">
        <x:v>Application/documentation assistance; authority approval and eligibility apply.</x:v>
      </x:c>
    </x:row>
    <x:row r="60">
      <x:c r="A60" s="12" t="str">
        <x:v>Student &amp; Career Services</x:v>
      </x:c>
      <x:c r="B60" s="12" t="str">
        <x:v>FYJC admission form assistance</x:v>
      </x:c>
      <x:c r="C60" s="44" t="n">
        <x:v>250</x:v>
      </x:c>
      <x:c r="D60" s="12" t="str">
        <x:v>Fixed</x:v>
      </x:c>
      <x:c r="E60" s="12" t="str">
        <x:v>Extra at actual</x:v>
      </x:c>
      <x:c r="F60" s="12" t="str">
        <x:v>Application/documentation assistance; authority approval and eligibility apply.</x:v>
      </x:c>
    </x:row>
    <x:row r="61">
      <x:c r="A61" s="12" t="str">
        <x:v>Student &amp; Career Services</x:v>
      </x:c>
      <x:c r="B61" s="12" t="str">
        <x:v>Mumbai University admission form assistance</x:v>
      </x:c>
      <x:c r="C61" s="44" t="n">
        <x:v>250</x:v>
      </x:c>
      <x:c r="D61" s="12" t="str">
        <x:v>Fixed</x:v>
      </x:c>
      <x:c r="E61" s="12" t="str">
        <x:v>Extra at actual</x:v>
      </x:c>
      <x:c r="F61" s="12" t="str">
        <x:v>Application/documentation assistance; authority approval and eligibility apply.</x:v>
      </x:c>
    </x:row>
    <x:row r="62">
      <x:c r="A62" s="12" t="str">
        <x:v>Student &amp; Career Services</x:v>
      </x:c>
      <x:c r="B62" s="12" t="str">
        <x:v>College admission form assistance</x:v>
      </x:c>
      <x:c r="C62" s="44" t="n">
        <x:v>250</x:v>
      </x:c>
      <x:c r="D62" s="12" t="str">
        <x:v>Fixed</x:v>
      </x:c>
      <x:c r="E62" s="12" t="str">
        <x:v>Extra at actual</x:v>
      </x:c>
      <x:c r="F62" s="12" t="str">
        <x:v>Application/documentation assistance; authority approval and eligibility apply.</x:v>
      </x:c>
    </x:row>
    <x:row r="63">
      <x:c r="A63" s="12" t="str">
        <x:v>Student &amp; Career Services</x:v>
      </x:c>
      <x:c r="B63" s="12" t="str">
        <x:v>Scholarship application assistance</x:v>
      </x:c>
      <x:c r="C63" s="44" t="n">
        <x:v>300</x:v>
      </x:c>
      <x:c r="D63" s="12" t="str">
        <x:v>Starting from</x:v>
      </x:c>
      <x:c r="E63" s="12" t="str">
        <x:v>Extra at actual</x:v>
      </x:c>
      <x:c r="F63" s="12" t="str">
        <x:v>Application/documentation assistance; authority approval and eligibility apply.</x:v>
      </x:c>
    </x:row>
    <x:row r="64">
      <x:c r="A64" s="12" t="str">
        <x:v>Student &amp; Career Services</x:v>
      </x:c>
      <x:c r="B64" s="12" t="str">
        <x:v>Competitive exam application assistance</x:v>
      </x:c>
      <x:c r="C64" s="44" t="n">
        <x:v>250</x:v>
      </x:c>
      <x:c r="D64" s="12" t="str">
        <x:v>Fixed</x:v>
      </x:c>
      <x:c r="E64" s="12" t="str">
        <x:v>Extra at actual</x:v>
      </x:c>
      <x:c r="F64" s="12" t="str">
        <x:v>Application/documentation assistance; authority approval and eligibility apply.</x:v>
      </x:c>
    </x:row>
    <x:row r="65">
      <x:c r="A65" s="12" t="str">
        <x:v>Student &amp; Career Services</x:v>
      </x:c>
      <x:c r="B65" s="12" t="str">
        <x:v>Government job application assistance</x:v>
      </x:c>
      <x:c r="C65" s="44" t="n">
        <x:v>250</x:v>
      </x:c>
      <x:c r="D65" s="12" t="str">
        <x:v>Fixed</x:v>
      </x:c>
      <x:c r="E65" s="12" t="str">
        <x:v>Extra at actual</x:v>
      </x:c>
      <x:c r="F65" s="12" t="str">
        <x:v>Application/documentation assistance; authority approval and eligibility apply.</x:v>
      </x:c>
    </x:row>
    <x:row r="66">
      <x:c r="A66" s="12" t="str">
        <x:v>Student &amp; Career Services</x:v>
      </x:c>
      <x:c r="B66" s="12" t="str">
        <x:v>Private job online application assistance</x:v>
      </x:c>
      <x:c r="C66" s="44" t="n">
        <x:v>150</x:v>
      </x:c>
      <x:c r="D66" s="12" t="str">
        <x:v>Fixed</x:v>
      </x:c>
      <x:c r="E66" s="12" t="str">
        <x:v>Extra at actual</x:v>
      </x:c>
      <x:c r="F66" s="12" t="str"/>
    </x:row>
    <x:row r="67">
      <x:c r="A67" s="12" t="str">
        <x:v>Student &amp; Career Services</x:v>
      </x:c>
      <x:c r="B67" s="12" t="str">
        <x:v>Basic resume creation</x:v>
      </x:c>
      <x:c r="C67" s="44" t="n">
        <x:v>300</x:v>
      </x:c>
      <x:c r="D67" s="12" t="str">
        <x:v>Fixed</x:v>
      </x:c>
      <x:c r="E67" s="12" t="str">
        <x:v>Extra at actual</x:v>
      </x:c>
      <x:c r="F67" s="12" t="str"/>
    </x:row>
    <x:row r="68">
      <x:c r="A68" s="12" t="str">
        <x:v>Design &amp; Business Growth</x:v>
      </x:c>
      <x:c r="B68" s="12" t="str">
        <x:v>Simple social media poster</x:v>
      </x:c>
      <x:c r="C68" s="44" t="n">
        <x:v>300</x:v>
      </x:c>
      <x:c r="D68" s="12" t="str">
        <x:v>Per creative</x:v>
      </x:c>
      <x:c r="E68" s="12" t="str">
        <x:v>Extra at actual</x:v>
      </x:c>
      <x:c r="F68" s="12" t="str"/>
    </x:row>
    <x:row r="69">
      <x:c r="A69" s="12" t="str">
        <x:v>Design &amp; Business Growth</x:v>
      </x:c>
      <x:c r="B69" s="12" t="str">
        <x:v>Premium social media poster</x:v>
      </x:c>
      <x:c r="C69" s="44" t="n">
        <x:v>500</x:v>
      </x:c>
      <x:c r="D69" s="12" t="str">
        <x:v>Per creative</x:v>
      </x:c>
      <x:c r="E69" s="12" t="str">
        <x:v>Extra at actual</x:v>
      </x:c>
      <x:c r="F69" s="12" t="str"/>
    </x:row>
    <x:row r="70">
      <x:c r="A70" s="12" t="str">
        <x:v>Design &amp; Business Growth</x:v>
      </x:c>
      <x:c r="B70" s="12" t="str">
        <x:v>Festival social post</x:v>
      </x:c>
      <x:c r="C70" s="44" t="n">
        <x:v>250</x:v>
      </x:c>
      <x:c r="D70" s="12" t="str">
        <x:v>Per creative</x:v>
      </x:c>
      <x:c r="E70" s="12" t="str">
        <x:v>Extra at actual</x:v>
      </x:c>
      <x:c r="F70" s="12" t="str"/>
    </x:row>
    <x:row r="71">
      <x:c r="A71" s="12" t="str">
        <x:v>Design &amp; Business Growth</x:v>
      </x:c>
      <x:c r="B71" s="12" t="str">
        <x:v>Visiting card design</x:v>
      </x:c>
      <x:c r="C71" s="44" t="n">
        <x:v>500</x:v>
      </x:c>
      <x:c r="D71" s="12" t="str">
        <x:v>Fixed</x:v>
      </x:c>
      <x:c r="E71" s="12" t="str">
        <x:v>Extra at actual</x:v>
      </x:c>
      <x:c r="F71" s="12" t="str"/>
    </x:row>
    <x:row r="72">
      <x:c r="A72" s="12" t="str">
        <x:v>Design &amp; Business Growth</x:v>
      </x:c>
      <x:c r="B72" s="12" t="str">
        <x:v>Letterhead design</x:v>
      </x:c>
      <x:c r="C72" s="44" t="n">
        <x:v>400</x:v>
      </x:c>
      <x:c r="D72" s="12" t="str">
        <x:v>Fixed</x:v>
      </x:c>
      <x:c r="E72" s="12" t="str">
        <x:v>Extra at actual</x:v>
      </x:c>
      <x:c r="F72" s="12" t="str"/>
    </x:row>
    <x:row r="73">
      <x:c r="A73" s="12" t="str">
        <x:v>Design &amp; Business Growth</x:v>
      </x:c>
      <x:c r="B73" s="12" t="str">
        <x:v>Invoice / challan / bill-book design</x:v>
      </x:c>
      <x:c r="C73" s="44" t="n">
        <x:v>500</x:v>
      </x:c>
      <x:c r="D73" s="12" t="str">
        <x:v>Starting from</x:v>
      </x:c>
      <x:c r="E73" s="12" t="str">
        <x:v>Extra at actual</x:v>
      </x:c>
      <x:c r="F73" s="12" t="str"/>
    </x:row>
    <x:row r="74">
      <x:c r="A74" s="12" t="str">
        <x:v>Design &amp; Business Growth</x:v>
      </x:c>
      <x:c r="B74" s="12" t="str">
        <x:v>Shop board / banner design</x:v>
      </x:c>
      <x:c r="C74" s="44" t="n">
        <x:v>700</x:v>
      </x:c>
      <x:c r="D74" s="12" t="str">
        <x:v>Starting from</x:v>
      </x:c>
      <x:c r="E74" s="12" t="str">
        <x:v>Extra at actual</x:v>
      </x:c>
      <x:c r="F74" s="12" t="str"/>
    </x:row>
    <x:row r="75">
      <x:c r="A75" s="12" t="str">
        <x:v>Design &amp; Business Growth</x:v>
      </x:c>
      <x:c r="B75" s="12" t="str">
        <x:v>Basic logo design</x:v>
      </x:c>
      <x:c r="C75" s="44" t="n">
        <x:v>1000</x:v>
      </x:c>
      <x:c r="D75" s="12" t="str">
        <x:v>Starting from</x:v>
      </x:c>
      <x:c r="E75" s="12" t="str">
        <x:v>Extra at actual</x:v>
      </x:c>
      <x:c r="F75" s="12" t="str"/>
    </x:row>
    <x:row r="76">
      <x:c r="A76" s="12" t="str">
        <x:v>Design &amp; Business Growth</x:v>
      </x:c>
      <x:c r="B76" s="12" t="str">
        <x:v>Professional logo + mini brand kit</x:v>
      </x:c>
      <x:c r="C76" s="44" t="n">
        <x:v>1800</x:v>
      </x:c>
      <x:c r="D76" s="12" t="str">
        <x:v>Starting from</x:v>
      </x:c>
      <x:c r="E76" s="12" t="str">
        <x:v>Extra at actual</x:v>
      </x:c>
      <x:c r="F76" s="12" t="str"/>
    </x:row>
    <x:row r="77">
      <x:c r="A77" s="12" t="str">
        <x:v>Printing, Photo &amp; Office Services</x:v>
      </x:c>
      <x:c r="B77" s="12" t="str">
        <x:v>B&amp;W A4 print</x:v>
      </x:c>
      <x:c r="C77" s="44" t="n">
        <x:v>3</x:v>
      </x:c>
      <x:c r="D77" s="12" t="str">
        <x:v>Per page</x:v>
      </x:c>
      <x:c r="E77" s="12" t="str">
        <x:v>Included</x:v>
      </x:c>
      <x:c r="F77" s="12" t="str"/>
    </x:row>
    <x:row r="78">
      <x:c r="A78" s="12" t="str">
        <x:v>Printing, Photo &amp; Office Services</x:v>
      </x:c>
      <x:c r="B78" s="12" t="str">
        <x:v>Colour A4 print</x:v>
      </x:c>
      <x:c r="C78" s="44" t="n">
        <x:v>10</x:v>
      </x:c>
      <x:c r="D78" s="12" t="str">
        <x:v>Per page</x:v>
      </x:c>
      <x:c r="E78" s="12" t="str">
        <x:v>Included</x:v>
      </x:c>
      <x:c r="F78" s="12" t="str"/>
    </x:row>
    <x:row r="79">
      <x:c r="A79" s="12" t="str">
        <x:v>Printing, Photo &amp; Office Services</x:v>
      </x:c>
      <x:c r="B79" s="12" t="str">
        <x:v>B&amp;W photocopy</x:v>
      </x:c>
      <x:c r="C79" s="44" t="n">
        <x:v>2</x:v>
      </x:c>
      <x:c r="D79" s="12" t="str">
        <x:v>Per page</x:v>
      </x:c>
      <x:c r="E79" s="12" t="str">
        <x:v>Included</x:v>
      </x:c>
      <x:c r="F79" s="12" t="str"/>
    </x:row>
    <x:row r="80">
      <x:c r="A80" s="12" t="str">
        <x:v>Printing, Photo &amp; Office Services</x:v>
      </x:c>
      <x:c r="B80" s="12" t="str">
        <x:v>Colour photocopy</x:v>
      </x:c>
      <x:c r="C80" s="44" t="n">
        <x:v>10</x:v>
      </x:c>
      <x:c r="D80" s="12" t="str">
        <x:v>Per page</x:v>
      </x:c>
      <x:c r="E80" s="12" t="str">
        <x:v>Included</x:v>
      </x:c>
      <x:c r="F80" s="12" t="str"/>
    </x:row>
    <x:row r="81">
      <x:c r="A81" s="12" t="str">
        <x:v>Printing, Photo &amp; Office Services</x:v>
      </x:c>
      <x:c r="B81" s="12" t="str">
        <x:v>Document scan</x:v>
      </x:c>
      <x:c r="C81" s="44" t="n">
        <x:v>10</x:v>
      </x:c>
      <x:c r="D81" s="12" t="str">
        <x:v>Per page</x:v>
      </x:c>
      <x:c r="E81" s="12" t="str">
        <x:v>Included</x:v>
      </x:c>
      <x:c r="F81" s="12" t="str"/>
    </x:row>
    <x:row r="82">
      <x:c r="A82" s="12" t="str">
        <x:v>Printing, Photo &amp; Office Services</x:v>
      </x:c>
      <x:c r="B82" s="12" t="str">
        <x:v>Scan + email / WhatsApp</x:v>
      </x:c>
      <x:c r="C82" s="44" t="n">
        <x:v>20</x:v>
      </x:c>
      <x:c r="D82" s="12" t="str">
        <x:v>Per file</x:v>
      </x:c>
      <x:c r="E82" s="12" t="str">
        <x:v>Included</x:v>
      </x:c>
      <x:c r="F82" s="12" t="str"/>
    </x:row>
    <x:row r="83">
      <x:c r="A83" s="12" t="str">
        <x:v>Printing, Photo &amp; Office Services</x:v>
      </x:c>
      <x:c r="B83" s="12" t="str">
        <x:v>A4 lamination</x:v>
      </x:c>
      <x:c r="C83" s="44" t="n">
        <x:v>40</x:v>
      </x:c>
      <x:c r="D83" s="12" t="str">
        <x:v>Per sheet</x:v>
      </x:c>
      <x:c r="E83" s="12" t="str">
        <x:v>Included</x:v>
      </x:c>
      <x:c r="F83" s="12" t="str"/>
    </x:row>
    <x:row r="84">
      <x:c r="A84" s="12" t="str">
        <x:v>Printing, Photo &amp; Office Services</x:v>
      </x:c>
      <x:c r="B84" s="12" t="str">
        <x:v>A3 lamination</x:v>
      </x:c>
      <x:c r="C84" s="44" t="n">
        <x:v>80</x:v>
      </x:c>
      <x:c r="D84" s="12" t="str">
        <x:v>Per sheet</x:v>
      </x:c>
      <x:c r="E84" s="12" t="str">
        <x:v>Included</x:v>
      </x:c>
      <x:c r="F84" s="12" t="str"/>
    </x:row>
    <x:row r="85">
      <x:c r="A85" s="12" t="str">
        <x:v>Printing, Photo &amp; Office Services</x:v>
      </x:c>
      <x:c r="B85" s="12" t="str">
        <x:v>Passport photo – 8 copies</x:v>
      </x:c>
      <x:c r="C85" s="44" t="n">
        <x:v>80</x:v>
      </x:c>
      <x:c r="D85" s="12" t="str">
        <x:v>Per set</x:v>
      </x:c>
      <x:c r="E85" s="12" t="str">
        <x:v>Included</x:v>
      </x:c>
      <x:c r="F85" s="12" t="str"/>
    </x:row>
    <x:row r="86">
      <x:c r="A86" s="12" t="str">
        <x:v>Printing, Photo &amp; Office Services</x:v>
      </x:c>
      <x:c r="B86" s="12" t="str">
        <x:v>Passport / ID photo editing only</x:v>
      </x:c>
      <x:c r="C86" s="44" t="n">
        <x:v>50</x:v>
      </x:c>
      <x:c r="D86" s="12" t="str">
        <x:v>Per photo</x:v>
      </x:c>
      <x:c r="E86" s="12" t="str">
        <x:v>Included</x:v>
      </x:c>
      <x:c r="F86" s="12" t="str"/>
    </x:row>
    <x:row r="87">
      <x:c r="A87" s="12" t="str">
        <x:v>Printing, Photo &amp; Office Services</x:v>
      </x:c>
      <x:c r="B87" s="12" t="str">
        <x:v>Professional background correction</x:v>
      </x:c>
      <x:c r="C87" s="44" t="n">
        <x:v>100</x:v>
      </x:c>
      <x:c r="D87" s="12" t="str">
        <x:v>Per photo</x:v>
      </x:c>
      <x:c r="E87" s="12" t="str">
        <x:v>Included</x:v>
      </x:c>
      <x:c r="F87" s="12" t="str"/>
    </x:row>
    <x:row r="88">
      <x:c r="A88" s="12" t="str">
        <x:v>Printing, Photo &amp; Office Services</x:v>
      </x:c>
      <x:c r="B88" s="12" t="str">
        <x:v>Old photo restoration – basic</x:v>
      </x:c>
      <x:c r="C88" s="44" t="n">
        <x:v>300</x:v>
      </x:c>
      <x:c r="D88" s="12" t="str">
        <x:v>Starting from</x:v>
      </x:c>
      <x:c r="E88" s="12" t="str">
        <x:v>Included</x:v>
      </x:c>
      <x:c r="F88" s="12" t="str"/>
    </x:row>
    <x:row r="89">
      <x:c r="A89" s="12" t="str">
        <x:v>Sarathi Smart Solutions</x:v>
      </x:c>
      <x:c r="B89" s="12" t="str">
        <x:v>CCTV site survey / inspection</x:v>
      </x:c>
      <x:c r="C89" s="44" t="n">
        <x:v>300</x:v>
      </x:c>
      <x:c r="D89" s="12" t="str">
        <x:v>Per visit</x:v>
      </x:c>
      <x:c r="E89" s="12" t="str">
        <x:v>Materials extra</x:v>
      </x:c>
      <x:c r="F89" s="12" t="str"/>
    </x:row>
    <x:row r="90">
      <x:c r="A90" s="12" t="str">
        <x:v>Sarathi Smart Solutions</x:v>
      </x:c>
      <x:c r="B90" s="12" t="str">
        <x:v>CCTV installation – 1 camera labour</x:v>
      </x:c>
      <x:c r="C90" s="44" t="n">
        <x:v>800</x:v>
      </x:c>
      <x:c r="D90" s="12" t="str">
        <x:v>Per camera</x:v>
      </x:c>
      <x:c r="E90" s="12" t="str">
        <x:v>Materials extra</x:v>
      </x:c>
      <x:c r="F90" s="12" t="str"/>
    </x:row>
    <x:row r="91">
      <x:c r="A91" s="12" t="str">
        <x:v>Sarathi Smart Solutions</x:v>
      </x:c>
      <x:c r="B91" s="12" t="str">
        <x:v>CCTV installation – 2 cameras labour</x:v>
      </x:c>
      <x:c r="C91" s="44" t="n">
        <x:v>1500</x:v>
      </x:c>
      <x:c r="D91" s="12" t="str">
        <x:v>Package</x:v>
      </x:c>
      <x:c r="E91" s="12" t="str">
        <x:v>Materials extra</x:v>
      </x:c>
      <x:c r="F91" s="12" t="str"/>
    </x:row>
    <x:row r="92">
      <x:c r="A92" s="12" t="str">
        <x:v>Sarathi Smart Solutions</x:v>
      </x:c>
      <x:c r="B92" s="12" t="str">
        <x:v>CCTV installation – 3 cameras labour</x:v>
      </x:c>
      <x:c r="C92" s="44" t="n">
        <x:v>2200</x:v>
      </x:c>
      <x:c r="D92" s="12" t="str">
        <x:v>Package</x:v>
      </x:c>
      <x:c r="E92" s="12" t="str">
        <x:v>Materials extra</x:v>
      </x:c>
      <x:c r="F92" s="12" t="str"/>
    </x:row>
    <x:row r="93">
      <x:c r="A93" s="12" t="str">
        <x:v>Sarathi Smart Solutions</x:v>
      </x:c>
      <x:c r="B93" s="12" t="str">
        <x:v>CCTV installation – 4 cameras labour</x:v>
      </x:c>
      <x:c r="C93" s="44" t="n">
        <x:v>2800</x:v>
      </x:c>
      <x:c r="D93" s="12" t="str">
        <x:v>Package</x:v>
      </x:c>
      <x:c r="E93" s="12" t="str">
        <x:v>Materials extra</x:v>
      </x:c>
      <x:c r="F93" s="12" t="str"/>
    </x:row>
    <x:row r="94">
      <x:c r="A94" s="12" t="str">
        <x:v>Sarathi Smart Solutions</x:v>
      </x:c>
      <x:c r="B94" s="12" t="str">
        <x:v>Additional CCTV camera labour</x:v>
      </x:c>
      <x:c r="C94" s="44" t="n">
        <x:v>600</x:v>
      </x:c>
      <x:c r="D94" s="12" t="str">
        <x:v>Per camera</x:v>
      </x:c>
      <x:c r="E94" s="12" t="str">
        <x:v>Materials extra</x:v>
      </x:c>
      <x:c r="F94" s="12" t="str"/>
    </x:row>
    <x:row r="95">
      <x:c r="A95" s="12" t="str">
        <x:v>Sarathi Smart Solutions</x:v>
      </x:c>
      <x:c r="B95" s="12" t="str">
        <x:v>DVR/NVR configuration</x:v>
      </x:c>
      <x:c r="C95" s="44" t="n">
        <x:v>500</x:v>
      </x:c>
      <x:c r="D95" s="12" t="str">
        <x:v>Per system</x:v>
      </x:c>
      <x:c r="E95" s="12" t="str">
        <x:v>Hardware extra</x:v>
      </x:c>
      <x:c r="F95" s="12" t="str"/>
    </x:row>
    <x:row r="96">
      <x:c r="A96" s="12" t="str">
        <x:v>Sarathi Smart Solutions</x:v>
      </x:c>
      <x:c r="B96" s="12" t="str">
        <x:v>Mobile CCTV viewing setup</x:v>
      </x:c>
      <x:c r="C96" s="44" t="n">
        <x:v>500</x:v>
      </x:c>
      <x:c r="D96" s="12" t="str">
        <x:v>Per system</x:v>
      </x:c>
      <x:c r="E96" s="12" t="str">
        <x:v>Internet/data extra</x:v>
      </x:c>
      <x:c r="F96" s="12" t="str"/>
    </x:row>
    <x:row r="97">
      <x:c r="A97" s="12" t="str">
        <x:v>Sarathi Smart Solutions</x:v>
      </x:c>
      <x:c r="B97" s="12" t="str">
        <x:v>CCTV service / troubleshooting visit</x:v>
      </x:c>
      <x:c r="C97" s="44" t="n">
        <x:v>500</x:v>
      </x:c>
      <x:c r="D97" s="12" t="str">
        <x:v>Per visit</x:v>
      </x:c>
      <x:c r="E97" s="12" t="str">
        <x:v>Parts extra</x:v>
      </x:c>
      <x:c r="F97" s="12" t="str"/>
    </x:row>
    <x:row r="98">
      <x:c r="A98" s="12" t="str">
        <x:v>Sarathi Smart Solutions</x:v>
      </x:c>
      <x:c r="B98" s="12" t="str">
        <x:v>CCTV preventive maintenance – small site</x:v>
      </x:c>
      <x:c r="C98" s="44" t="n">
        <x:v>1200</x:v>
      </x:c>
      <x:c r="D98" s="12" t="str">
        <x:v>Starting from</x:v>
      </x:c>
      <x:c r="E98" s="12" t="str">
        <x:v>Parts extra</x:v>
      </x:c>
      <x:c r="F98" s="12" t="str"/>
    </x:row>
    <x:row r="99">
      <x:c r="A99" s="12" t="str">
        <x:v>Sarathi Smart Solutions</x:v>
      </x:c>
      <x:c r="B99" s="12" t="str">
        <x:v>Wi-Fi router installation &amp; setup</x:v>
      </x:c>
      <x:c r="C99" s="44" t="n">
        <x:v>500</x:v>
      </x:c>
      <x:c r="D99" s="12" t="str">
        <x:v>Per router</x:v>
      </x:c>
      <x:c r="E99" s="12" t="str">
        <x:v>Hardware extra</x:v>
      </x:c>
      <x:c r="F99" s="12" t="str"/>
    </x:row>
    <x:row r="100">
      <x:c r="A100" s="12" t="str">
        <x:v>Sarathi Smart Solutions</x:v>
      </x:c>
      <x:c r="B100" s="12" t="str">
        <x:v>Wi-Fi troubleshooting visit</x:v>
      </x:c>
      <x:c r="C100" s="44" t="n">
        <x:v>500</x:v>
      </x:c>
      <x:c r="D100" s="12" t="str">
        <x:v>Per visit</x:v>
      </x:c>
      <x:c r="E100" s="12" t="str">
        <x:v>Parts extra</x:v>
      </x:c>
      <x:c r="F100" s="12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a15ac708d1f471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19" hidden="0" customWidth="1"/>
    <x:col min="5" max="5" width="16" hidden="0" customWidth="1"/>
    <x:col min="6" max="6" width="11" hidden="0" customWidth="1"/>
    <x:col min="7" max="7" width="55" hidden="0" customWidth="1"/>
    <x:col min="8" max="8" width="48" hidden="0" customWidth="1"/>
  </x:cols>
  <x:sheetData>
    <x:row r="1" ht="32" customHeight="1">
      <x:c r="A1" s="6" t="str">
        <x:v>Package</x:v>
      </x:c>
      <x:c r="B1" s="6" t="str">
        <x:v>Segment</x:v>
      </x:c>
      <x:c r="C1" s="6" t="str">
        <x:v>Customer Price (₹)</x:v>
      </x:c>
      <x:c r="D1" s="6" t="str">
        <x:v>Estimated Internal Cost (₹)</x:v>
      </x:c>
      <x:c r="E1" s="6" t="str">
        <x:v>Gross Margin (₹)</x:v>
      </x:c>
      <x:c r="F1" s="6" t="str">
        <x:v>Margin %</x:v>
      </x:c>
      <x:c r="G1" s="6" t="str">
        <x:v>Included Services</x:v>
      </x:c>
      <x:c r="H1" s="6" t="str">
        <x:v>Conditions / Exclusions</x:v>
      </x:c>
    </x:row>
    <x:row r="2">
      <x:c r="A2" s="12" t="str">
        <x:v>New Medical Store Setup</x:v>
      </x:c>
      <x:c r="B2" s="12" t="str">
        <x:v>Pharmacy / Healthcare</x:v>
      </x:c>
      <x:c r="C2" s="44" t="n">
        <x:v>5499</x:v>
      </x:c>
      <x:c r="D2" s="44" t="n">
        <x:v>500</x:v>
      </x:c>
      <x:c r="E2" s="44" t="n">
        <x:f>C2-D2</x:f>
        <x:v>4999</x:v>
      </x:c>
      <x:c r="F2" s="48" t="n">
        <x:f>IFERROR(E2/C2,0)</x:f>
        <x:v>0.9090743771594836</x:v>
      </x:c>
      <x:c r="G2" s="12" t="str">
        <x:v>Drug licence documentation assistance + Gumasta + GST assistance + business document folder + shop-board design + Google Business setup</x:v>
      </x:c>
      <x:c r="H2" s="12" t="str">
        <x:v>Authority/government fees, pharmacist/legal/professional fees and inspection-related costs extra.</x:v>
      </x:c>
    </x:row>
    <x:row r="3">
      <x:c r="A3" s="12" t="str">
        <x:v>Restaurant Startup</x:v>
      </x:c>
      <x:c r="B3" s="12" t="str">
        <x:v>Food / Restaurant</x:v>
      </x:c>
      <x:c r="C3" s="44" t="n">
        <x:v>4999</x:v>
      </x:c>
      <x:c r="D3" s="44" t="n">
        <x:v>400</x:v>
      </x:c>
      <x:c r="E3" s="44" t="n">
        <x:f>C3-D3</x:f>
        <x:v>4599</x:v>
      </x:c>
      <x:c r="F3" s="48" t="n">
        <x:f>IFERROR(E3/C3,0)</x:f>
        <x:v>0.9199839967993598</x:v>
      </x:c>
      <x:c r="G3" s="12" t="str">
        <x:v>FSSAI assistance + Gumasta + GST assistance + Google Business + menu design + WhatsApp Business setup</x:v>
      </x:c>
      <x:c r="H3" s="12" t="str">
        <x:v>Government/portal fees and specialised permissions extra.</x:v>
      </x:c>
    </x:row>
    <x:row r="4">
      <x:c r="A4" s="12" t="str">
        <x:v>Cloud Kitchen Starter</x:v>
      </x:c>
      <x:c r="B4" s="12" t="str">
        <x:v>Food / Restaurant</x:v>
      </x:c>
      <x:c r="C4" s="44" t="n">
        <x:v>3999</x:v>
      </x:c>
      <x:c r="D4" s="44" t="n">
        <x:v>320</x:v>
      </x:c>
      <x:c r="E4" s="44" t="n">
        <x:f>C4-D4</x:f>
        <x:v>3679</x:v>
      </x:c>
      <x:c r="F4" s="48" t="n">
        <x:f>IFERROR(E4/C4,0)</x:f>
        <x:v>0.9199799949987497</x:v>
      </x:c>
      <x:c r="G4" s="12" t="str">
        <x:v>FSSAI assistance + Gumasta + GST assistance + Google Business + QR menu</x:v>
      </x:c>
      <x:c r="H4" s="12" t="str">
        <x:v>Government/portal fees extra.</x:v>
      </x:c>
    </x:row>
    <x:row r="5">
      <x:c r="A5" s="12" t="str">
        <x:v>Real Estate Broker Starter</x:v>
      </x:c>
      <x:c r="B5" s="12" t="str">
        <x:v>Property / Real Estate</x:v>
      </x:c>
      <x:c r="C5" s="44" t="n">
        <x:v>4999</x:v>
      </x:c>
      <x:c r="D5" s="44" t="n">
        <x:v>400</x:v>
      </x:c>
      <x:c r="E5" s="44" t="n">
        <x:f>C5-D5</x:f>
        <x:v>4599</x:v>
      </x:c>
      <x:c r="F5" s="48" t="n">
        <x:f>IFERROR(E5/C5,0)</x:f>
        <x:v>0.9199839967993598</x:v>
      </x:c>
      <x:c r="G5" s="12" t="str">
        <x:v>MahaRERA agent documentation + business setup + visiting card + Google Business + quotation templates</x:v>
      </x:c>
      <x:c r="H5" s="12" t="str">
        <x:v>MahaRERA statutory fee and competency/training expenses extra.</x:v>
      </x:c>
    </x:row>
    <x:row r="6">
      <x:c r="A6" s="12" t="str">
        <x:v>Online Seller Starter</x:v>
      </x:c>
      <x:c r="B6" s="12" t="str">
        <x:v>E-commerce</x:v>
      </x:c>
      <x:c r="C6" s="44" t="n">
        <x:v>3999</x:v>
      </x:c>
      <x:c r="D6" s="44" t="n">
        <x:v>320</x:v>
      </x:c>
      <x:c r="E6" s="44" t="n">
        <x:f>C6-D6</x:f>
        <x:v>3679</x:v>
      </x:c>
      <x:c r="F6" s="48" t="n">
        <x:f>IFERROR(E6/C6,0)</x:f>
        <x:v>0.9199799949987497</x:v>
      </x:c>
      <x:c r="G6" s="12" t="str">
        <x:v>GST assistance + marketplace setup + 10 product listings + invoice template + basic catalogue</x:v>
      </x:c>
      <x:c r="H6" s="12" t="str">
        <x:v>Marketplace/GST requirements depend on selling model.</x:v>
      </x:c>
    </x:row>
    <x:row r="7">
      <x:c r="A7" s="12" t="str">
        <x:v>Import Export Starter</x:v>
      </x:c>
      <x:c r="B7" s="12" t="str">
        <x:v>Import / Export</x:v>
      </x:c>
      <x:c r="C7" s="44" t="n">
        <x:v>4999</x:v>
      </x:c>
      <x:c r="D7" s="44" t="n">
        <x:v>400</x:v>
      </x:c>
      <x:c r="E7" s="44" t="n">
        <x:f>C7-D7</x:f>
        <x:v>4599</x:v>
      </x:c>
      <x:c r="F7" s="48" t="n">
        <x:f>IFERROR(E7/C7,0)</x:f>
        <x:v>0.9199839967993598</x:v>
      </x:c>
      <x:c r="G7" s="12" t="str">
        <x:v>IEC assistance + GST/business documentation + quotation/proforma invoice + company profile</x:v>
      </x:c>
      <x:c r="H7" s="12" t="str">
        <x:v>DGFT/other statutory or bank charges extra.</x:v>
      </x:c>
    </x:row>
    <x:row r="8">
      <x:c r="A8" s="12" t="str">
        <x:v>Small Business Launch</x:v>
      </x:c>
      <x:c r="B8" s="12" t="str">
        <x:v>General Business</x:v>
      </x:c>
      <x:c r="C8" s="44" t="n">
        <x:v>6999</x:v>
      </x:c>
      <x:c r="D8" s="44" t="n">
        <x:v>550</x:v>
      </x:c>
      <x:c r="E8" s="44" t="n">
        <x:f>C8-D8</x:f>
        <x:v>6449</x:v>
      </x:c>
      <x:c r="F8" s="48" t="n">
        <x:f>IFERROR(E8/C8,0)</x:f>
        <x:v>0.9214173453350478</x:v>
      </x:c>
      <x:c r="G8" s="12" t="str">
        <x:v>GST + applicable business registrations + logo + visiting card + letterhead + quotation + invoice + Google Business + WhatsApp setup</x:v>
      </x:c>
      <x:c r="H8" s="12" t="str">
        <x:v>Exact registrations confirmed after activity/location review.</x:v>
      </x:c>
    </x:row>
    <x:row r="9">
      <x:c r="A9" s="12" t="str">
        <x:v>Digital Business Starter</x:v>
      </x:c>
      <x:c r="B9" s="12" t="str">
        <x:v>Branding / Digital</x:v>
      </x:c>
      <x:c r="C9" s="44" t="n">
        <x:v>3999</x:v>
      </x:c>
      <x:c r="D9" s="44" t="n">
        <x:v>300</x:v>
      </x:c>
      <x:c r="E9" s="44" t="n">
        <x:f>C9-D9</x:f>
        <x:v>3699</x:v>
      </x:c>
      <x:c r="F9" s="48" t="n">
        <x:f>IFERROR(E9/C9,0)</x:f>
        <x:v>0.9249812453113279</x:v>
      </x:c>
      <x:c r="G9" s="12" t="str">
        <x:v>Logo + visiting card + Google Business + WhatsApp Business + 4 social creatives</x:v>
      </x:c>
      <x:c r="H9" s="12" t="str">
        <x:v>Printing, paid ads, domain and hosting extra.</x:v>
      </x:c>
    </x:row>
    <x:row r="10">
      <x:c r="A10" s="12" t="str">
        <x:v>Career Premium</x:v>
      </x:c>
      <x:c r="B10" s="12" t="str">
        <x:v>Career</x:v>
      </x:c>
      <x:c r="C10" s="44" t="n">
        <x:v>1499</x:v>
      </x:c>
      <x:c r="D10" s="44" t="n">
        <x:v>120</x:v>
      </x:c>
      <x:c r="E10" s="44" t="n">
        <x:f>C10-D10</x:f>
        <x:v>1379</x:v>
      </x:c>
      <x:c r="F10" s="48" t="n">
        <x:f>IFERROR(E10/C10,0)</x:f>
        <x:v>0.9199466310873916</x:v>
      </x:c>
      <x:c r="G10" s="12" t="str">
        <x:v>ATS resume + cover letter + LinkedIn optimization</x:v>
      </x:c>
      <x:c r="H10" s="12" t="str">
        <x:v>One role-targeting revision included.</x:v>
      </x:c>
    </x:row>
    <x:row r="11">
      <x:c r="A11" s="12" t="str">
        <x:v>Student Admission Support</x:v>
      </x:c>
      <x:c r="B11" s="12" t="str">
        <x:v>Student</x:v>
      </x:c>
      <x:c r="C11" s="44" t="n">
        <x:v>799</x:v>
      </x:c>
      <x:c r="D11" s="44" t="n">
        <x:v>80</x:v>
      </x:c>
      <x:c r="E11" s="44" t="n">
        <x:f>C11-D11</x:f>
        <x:v>719</x:v>
      </x:c>
      <x:c r="F11" s="48" t="n">
        <x:f>IFERROR(E11/C11,0)</x:f>
        <x:v>0.899874843554443</x:v>
      </x:c>
      <x:c r="G11" s="12" t="str">
        <x:v>Admission form + document scan/resize + ABC ID assistance + upload support</x:v>
      </x:c>
      <x:c r="H11" s="12" t="str">
        <x:v>Admission/exam/college fees extra.</x:v>
      </x:c>
    </x:row>
    <x:row r="12">
      <x:c r="A12" s="12" t="str">
        <x:v>CCTV 3-Camera Labour Bundle</x:v>
      </x:c>
      <x:c r="B12" s="12" t="str">
        <x:v>Smart Solutions</x:v>
      </x:c>
      <x:c r="C12" s="44" t="n">
        <x:v>2999</x:v>
      </x:c>
      <x:c r="D12" s="44" t="n">
        <x:v>600</x:v>
      </x:c>
      <x:c r="E12" s="44" t="n">
        <x:f>C12-D12</x:f>
        <x:v>2399</x:v>
      </x:c>
      <x:c r="F12" s="48" t="n">
        <x:f>IFERROR(E12/C12,0)</x:f>
        <x:v>0.7999333111037013</x:v>
      </x:c>
      <x:c r="G12" s="12" t="str">
        <x:v>Site survey + 3-camera installation labour + DVR/NVR configuration + mobile viewing setup</x:v>
      </x:c>
      <x:c r="H12" s="12" t="str">
        <x:v>Cameras, DVR/NVR, HDD, cable, connectors and materials extra.</x:v>
      </x:c>
    </x:row>
    <x:row r="13">
      <x:c r="A13" s="12" t="str">
        <x:v>Small Office Connectivity Setup</x:v>
      </x:c>
      <x:c r="B13" s="12" t="str">
        <x:v>Smart Solutions</x:v>
      </x:c>
      <x:c r="C13" s="44" t="n">
        <x:v>3499</x:v>
      </x:c>
      <x:c r="D13" s="44" t="n">
        <x:v>750</x:v>
      </x:c>
      <x:c r="E13" s="44" t="n">
        <x:f>C13-D13</x:f>
        <x:v>2749</x:v>
      </x:c>
      <x:c r="F13" s="48" t="n">
        <x:f>IFERROR(E13/C13,0)</x:f>
        <x:v>0.7856530437267791</x:v>
      </x:c>
      <x:c r="G13" s="12" t="str">
        <x:v>Site survey + router setup + up to 4 LAN point labour + basic network configuration</x:v>
      </x:c>
      <x:c r="H13" s="12" t="str">
        <x:v>Router/switch/cable/materials extra.</x:v>
      </x:c>
    </x:row>
    <x:row r="14">
      <x:c r="A14" s="12" t="str">
        <x:v>Shop Branding Pack</x:v>
      </x:c>
      <x:c r="B14" s="12" t="str">
        <x:v>Design</x:v>
      </x:c>
      <x:c r="C14" s="44" t="n">
        <x:v>2499</x:v>
      </x:c>
      <x:c r="D14" s="44" t="n">
        <x:v>220</x:v>
      </x:c>
      <x:c r="E14" s="44" t="n">
        <x:f>C14-D14</x:f>
        <x:v>2279</x:v>
      </x:c>
      <x:c r="F14" s="48" t="n">
        <x:f>IFERROR(E14/C14,0)</x:f>
        <x:v>0.9119647859143657</x:v>
      </x:c>
      <x:c r="G14" s="12" t="str">
        <x:v>Logo/basic refresh + visiting card + shop-board design + letterhead + 2 social creatives</x:v>
      </x:c>
      <x:c r="H14" s="12" t="str">
        <x:v>Printing/fabrication extra.</x:v>
      </x:c>
    </x:row>
    <x:row r="15">
      <x:c r="A15" s="12" t="str">
        <x:v>Pharmacy Digital Growth Pack</x:v>
      </x:c>
      <x:c r="B15" s="12" t="str">
        <x:v>Pharmacy / Digital</x:v>
      </x:c>
      <x:c r="C15" s="44" t="n">
        <x:v>3999</x:v>
      </x:c>
      <x:c r="D15" s="44" t="n">
        <x:v>350</x:v>
      </x:c>
      <x:c r="E15" s="44" t="n">
        <x:f>C15-D15</x:f>
        <x:v>3649</x:v>
      </x:c>
      <x:c r="F15" s="48" t="n">
        <x:f>IFERROR(E15/C15,0)</x:f>
        <x:v>0.9124781195298824</x:v>
      </x:c>
      <x:c r="G15" s="12" t="str">
        <x:v>Google Business + WhatsApp Business + visiting card + shop-board design + 6 social creatives</x:v>
      </x:c>
      <x:c r="H15" s="12" t="str">
        <x:v>Does not include drug licence work.</x:v>
      </x:c>
    </x:row>
  </x:sheetData>
  <x:pageMargins left="0.7" right="0.7" top="0.75" bottom="0.75" header="0.3" footer="0.3"/>
  <x:tableParts count="1">
    <x:tablePart xmlns:r="http://schemas.openxmlformats.org/officeDocument/2006/relationships" r:id="R0e4f62ce6d2e4b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8" hidden="0" customWidth="1"/>
    <x:col min="3" max="3" width="9" hidden="0" customWidth="1"/>
    <x:col min="4" max="4" width="16" hidden="0" customWidth="1"/>
    <x:col min="5" max="5" width="16" hidden="0" customWidth="1"/>
    <x:col min="6" max="6" width="30" hidden="0" customWidth="1"/>
  </x:cols>
  <x:sheetData>
    <x:row r="1" ht="32" customHeight="1">
      <x:c r="A1" s="30" t="str">
        <x:v>SARATHI QUICK CUSTOMER QUOTATION</x:v>
      </x:c>
      <x:c r="B1" s="30"/>
      <x:c r="C1" s="30"/>
      <x:c r="D1" s="30"/>
      <x:c r="E1" s="30"/>
      <x:c r="F1" s="30"/>
    </x:row>
    <x:row r="3">
      <x:c r="A3" t="str">
        <x:v>Customer Name</x:v>
      </x:c>
      <x:c r="B3" t="str"/>
    </x:row>
    <x:row r="4">
      <x:c r="A4" t="str">
        <x:v>Date</x:v>
      </x:c>
      <x:c r="B4" s="50" t="n">
        <x:v>46294</x:v>
      </x:c>
    </x:row>
    <x:row r="6">
      <x:c r="A6" s="53" t="str">
        <x:v>No.</x:v>
      </x:c>
      <x:c r="B6" s="53" t="str">
        <x:v>Service</x:v>
      </x:c>
      <x:c r="C6" s="53" t="str">
        <x:v>Qty</x:v>
      </x:c>
      <x:c r="D6" s="53" t="str">
        <x:v>Unit Price (₹)</x:v>
      </x:c>
      <x:c r="E6" s="53" t="str">
        <x:v>Line Total (₹)</x:v>
      </x:c>
      <x:c r="F6" s="53" t="str">
        <x:v>Remarks</x:v>
      </x:c>
    </x:row>
    <x:row r="7">
      <x:c r="A7" t="n">
        <x:v>1</x:v>
      </x:c>
      <x:c r="C7" t="n">
        <x:v>1</x:v>
      </x:c>
      <x:c r="D7" s="42" t="n">
        <x:f>IFERROR(VLOOKUP(B7,'Master Catalogue'!$C$2:$E$178,3,FALSE),0)</x:f>
        <x:v>0</x:v>
      </x:c>
      <x:c r="E7" s="42" t="n">
        <x:f>C7*D7</x:f>
        <x:v>0</x:v>
      </x:c>
    </x:row>
    <x:row r="8">
      <x:c r="A8" t="n">
        <x:v>2</x:v>
      </x:c>
      <x:c r="C8" t="n">
        <x:v>1</x:v>
      </x:c>
      <x:c r="D8" s="42" t="n">
        <x:f>IFERROR(VLOOKUP(B8,'Master Catalogue'!$C$2:$E$178,3,FALSE),0)</x:f>
        <x:v>0</x:v>
      </x:c>
      <x:c r="E8" s="42" t="n">
        <x:f>C8*D8</x:f>
        <x:v>0</x:v>
      </x:c>
    </x:row>
    <x:row r="9">
      <x:c r="A9" t="n">
        <x:v>3</x:v>
      </x:c>
      <x:c r="C9" t="n">
        <x:v>1</x:v>
      </x:c>
      <x:c r="D9" s="42" t="n">
        <x:f>IFERROR(VLOOKUP(B9,'Master Catalogue'!$C$2:$E$178,3,FALSE),0)</x:f>
        <x:v>0</x:v>
      </x:c>
      <x:c r="E9" s="42" t="n">
        <x:f>C9*D9</x:f>
        <x:v>0</x:v>
      </x:c>
    </x:row>
    <x:row r="10">
      <x:c r="A10" t="n">
        <x:v>4</x:v>
      </x:c>
      <x:c r="C10" t="n">
        <x:v>1</x:v>
      </x:c>
      <x:c r="D10" s="42" t="n">
        <x:f>IFERROR(VLOOKUP(B10,'Master Catalogue'!$C$2:$E$178,3,FALSE),0)</x:f>
        <x:v>0</x:v>
      </x:c>
      <x:c r="E10" s="42" t="n">
        <x:f>C10*D10</x:f>
        <x:v>0</x:v>
      </x:c>
    </x:row>
    <x:row r="11">
      <x:c r="A11" t="n">
        <x:v>5</x:v>
      </x:c>
      <x:c r="C11" t="n">
        <x:v>1</x:v>
      </x:c>
      <x:c r="D11" s="42" t="n">
        <x:f>IFERROR(VLOOKUP(B11,'Master Catalogue'!$C$2:$E$178,3,FALSE),0)</x:f>
        <x:v>0</x:v>
      </x:c>
      <x:c r="E11" s="42" t="n">
        <x:f>C11*D11</x:f>
        <x:v>0</x:v>
      </x:c>
    </x:row>
    <x:row r="12">
      <x:c r="A12" t="n">
        <x:v>6</x:v>
      </x:c>
      <x:c r="C12" t="n">
        <x:v>1</x:v>
      </x:c>
      <x:c r="D12" s="42" t="n">
        <x:f>IFERROR(VLOOKUP(B12,'Master Catalogue'!$C$2:$E$178,3,FALSE),0)</x:f>
        <x:v>0</x:v>
      </x:c>
      <x:c r="E12" s="42" t="n">
        <x:f>C12*D12</x:f>
        <x:v>0</x:v>
      </x:c>
    </x:row>
    <x:row r="13">
      <x:c r="A13" t="n">
        <x:v>7</x:v>
      </x:c>
      <x:c r="C13" t="n">
        <x:v>1</x:v>
      </x:c>
      <x:c r="D13" s="42" t="n">
        <x:f>IFERROR(VLOOKUP(B13,'Master Catalogue'!$C$2:$E$178,3,FALSE),0)</x:f>
        <x:v>0</x:v>
      </x:c>
      <x:c r="E13" s="42" t="n">
        <x:f>C13*D13</x:f>
        <x:v>0</x:v>
      </x:c>
    </x:row>
    <x:row r="14">
      <x:c r="A14" t="n">
        <x:v>8</x:v>
      </x:c>
      <x:c r="C14" t="n">
        <x:v>1</x:v>
      </x:c>
      <x:c r="D14" s="42" t="n">
        <x:f>IFERROR(VLOOKUP(B14,'Master Catalogue'!$C$2:$E$178,3,FALSE),0)</x:f>
        <x:v>0</x:v>
      </x:c>
      <x:c r="E14" s="42" t="n">
        <x:f>C14*D14</x:f>
        <x:v>0</x:v>
      </x:c>
    </x:row>
    <x:row r="15">
      <x:c r="A15" t="n">
        <x:v>9</x:v>
      </x:c>
      <x:c r="C15" t="n">
        <x:v>1</x:v>
      </x:c>
      <x:c r="D15" s="42" t="n">
        <x:f>IFERROR(VLOOKUP(B15,'Master Catalogue'!$C$2:$E$178,3,FALSE),0)</x:f>
        <x:v>0</x:v>
      </x:c>
      <x:c r="E15" s="42" t="n">
        <x:f>C15*D15</x:f>
        <x:v>0</x:v>
      </x:c>
    </x:row>
    <x:row r="16">
      <x:c r="A16" t="n">
        <x:v>10</x:v>
      </x:c>
      <x:c r="C16" t="n">
        <x:v>1</x:v>
      </x:c>
      <x:c r="D16" s="42" t="n">
        <x:f>IFERROR(VLOOKUP(B16,'Master Catalogue'!$C$2:$E$178,3,FALSE),0)</x:f>
        <x:v>0</x:v>
      </x:c>
      <x:c r="E16" s="42" t="n">
        <x:f>C16*D16</x:f>
        <x:v>0</x:v>
      </x:c>
    </x:row>
    <x:row r="18">
      <x:c r="D18" t="str">
        <x:v>Subtotal</x:v>
      </x:c>
      <x:c r="E18" s="42" t="n">
        <x:f>SUM(E7:E16)</x:f>
        <x:v>0</x:v>
      </x:c>
    </x:row>
    <x:row r="19">
      <x:c r="D19" t="str">
        <x:v>Discount</x:v>
      </x:c>
      <x:c r="E19" s="42" t="n">
        <x:v>0</x:v>
      </x:c>
    </x:row>
    <x:row r="20">
      <x:c r="D20" t="str">
        <x:v>Service Total</x:v>
      </x:c>
      <x:c r="E20" s="42" t="n">
        <x:f>E18-E19</x:f>
        <x:v>0</x:v>
      </x:c>
    </x:row>
    <x:row r="22">
      <x:c r="A22" s="58" t="str">
        <x:v>Note: Government/portal/statutory fees, stamp duty, notary, courier, material, hardware and third-party charges are extra at actual wherever applicable. Regulated services are documentation/application assistance only and remain subject to authority eligibility/approval.</x:v>
      </x:c>
      <x:c r="B22" s="58"/>
      <x:c r="C22" s="58"/>
      <x:c r="D22" s="58"/>
      <x:c r="E22" s="58"/>
      <x:c r="F22" s="58"/>
    </x:row>
    <x:row r="23">
      <x:c r="A23" s="58"/>
      <x:c r="B23" s="58"/>
      <x:c r="C23" s="58"/>
      <x:c r="D23" s="58"/>
      <x:c r="E23" s="58"/>
      <x:c r="F23" s="58"/>
    </x:row>
  </x:sheetData>
  <x:mergeCells>
    <x:mergeCell ref="A1:F1"/>
    <x:mergeCell ref="A22:F23"/>
  </x:mergeCells>
  <x:dataValidations count="1">
    <x:dataValidation type="list" sqref="B7:B16">
      <x:formula1>'Master Catalogue'!$C$2:$C$178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42" hidden="0" customWidth="1"/>
    <x:col min="4" max="4" width="46" hidden="0" customWidth="1"/>
  </x:cols>
  <x:sheetData>
    <x:row r="1" ht="30" customHeight="1">
      <x:c r="A1" s="63" t="str">
        <x:v>SARATHI PRICING &amp; COUNTER RULES</x:v>
      </x:c>
      <x:c r="B1" s="63"/>
      <x:c r="C1" s="63"/>
      <x:c r="D1" s="63"/>
    </x:row>
    <x:row r="3">
      <x:c r="A3" s="4" t="str">
        <x:v>Rule</x:v>
      </x:c>
      <x:c r="B3" s="4" t="str">
        <x:v>Use at Counter</x:v>
      </x:c>
      <x:c r="C3" s="4" t="str">
        <x:v>Example</x:v>
      </x:c>
      <x:c r="D3" s="4" t="str">
        <x:v>Reason</x:v>
      </x:c>
    </x:row>
    <x:row r="4">
      <x:c r="A4" s="12" t="str">
        <x:v>Separate service charge from official fee</x:v>
      </x:c>
      <x:c r="B4" s="12" t="str">
        <x:v>Quote: Sarathi service charge + government/portal fee at actual</x:v>
      </x:c>
      <x:c r="C4" s="12" t="str">
        <x:v>FSSAI assistance ₹800 + FoSCoS fee actual</x:v>
      </x:c>
      <x:c r="D4" s="12" t="str">
        <x:v>Protects margin and prevents fee confusion.</x:v>
      </x:c>
    </x:row>
    <x:row r="5">
      <x:c r="A5" s="12" t="str">
        <x:v>Use 'Starting from' for complex cases</x:v>
      </x:c>
      <x:c r="B5" s="12" t="str">
        <x:v>Do not promise fixed total until documents are checked</x:v>
      </x:c>
      <x:c r="C5" s="12" t="str">
        <x:v>GST complex amendment: ₹600 onwards</x:v>
      </x:c>
      <x:c r="D5" s="12" t="str">
        <x:v>Complexity and extra visits vary.</x:v>
      </x:c>
    </x:row>
    <x:row r="6">
      <x:c r="A6" s="12" t="str">
        <x:v>Use 'Assistance' for regulated services</x:v>
      </x:c>
      <x:c r="B6" s="12" t="str">
        <x:v>Never say Sarathi issues or guarantees licence</x:v>
      </x:c>
      <x:c r="C6" s="12" t="str">
        <x:v>Drug licence application documentation assistance</x:v>
      </x:c>
      <x:c r="D6" s="12" t="str">
        <x:v>Authority decides eligibility/approval.</x:v>
      </x:c>
    </x:row>
    <x:row r="7">
      <x:c r="A7" s="12" t="str">
        <x:v>Collect advance on project work</x:v>
      </x:c>
      <x:c r="B7" s="12" t="str">
        <x:v>For design/website/CCTV materials, collect an advance before work</x:v>
      </x:c>
      <x:c r="C7" s="12" t="str">
        <x:v>CCTV materials covered by customer advance</x:v>
      </x:c>
      <x:c r="D7" s="12" t="str">
        <x:v>Avoids cash-flow risk.</x:v>
      </x:c>
    </x:row>
    <x:row r="8">
      <x:c r="A8" s="12" t="str">
        <x:v>Keep hardware/material separate</x:v>
      </x:c>
      <x:c r="B8" s="12" t="str">
        <x:v>Smart Solutions labour and BOM should be separate</x:v>
      </x:c>
      <x:c r="C8" s="12" t="str">
        <x:v>3-camera labour ₹2,200 + materials</x:v>
      </x:c>
      <x:c r="D8" s="12" t="str">
        <x:v>Product prices change frequently.</x:v>
      </x:c>
    </x:row>
    <x:row r="9">
      <x:c r="A9" s="12" t="str">
        <x:v>Use package price only with defined inclusions</x:v>
      </x:c>
      <x:c r="B9" s="12" t="str">
        <x:v>Write exactly what the package includes</x:v>
      </x:c>
      <x:c r="C9" s="12" t="str">
        <x:v>Restaurant Startup ₹4,999</x:v>
      </x:c>
      <x:c r="D9" s="12" t="str">
        <x:v>Prevents scope creep.</x:v>
      </x:c>
    </x:row>
    <x:row r="10">
      <x:c r="A10" s="12" t="str">
        <x:v>Do not discount official fees</x:v>
      </x:c>
      <x:c r="B10" s="12" t="str">
        <x:v>Only discount Sarathi's service component</x:v>
      </x:c>
      <x:c r="C10" s="12" t="str">
        <x:v>₹1,200 service → offer ₹1,000; portal fee unchanged</x:v>
      </x:c>
      <x:c r="D10" s="12" t="str">
        <x:v>Keeps compliance and accounting clear.</x:v>
      </x:c>
    </x:row>
    <x:row r="11">
      <x:c r="A11" s="12" t="str">
        <x:v>Review price every 90 days</x:v>
      </x:c>
      <x:c r="B11" s="12" t="str">
        <x:v>Update printing/material/project prices quarterly</x:v>
      </x:c>
      <x:c r="C11" s="12" t="str">
        <x:v>PVC, lamination, CCTV labour</x:v>
      </x:c>
      <x:c r="D11" s="12" t="str">
        <x:v>Input costs and market rates change.</x:v>
      </x:c>
    </x:row>
    <x:row r="12">
      <x:c r="A12" s="12" t="str">
        <x:v>Keep Udyam wording transparent</x:v>
      </x:c>
      <x:c r="B12" s="12" t="str">
        <x:v>Government Udyam registration is free; charge only for digital assistance</x:v>
      </x:c>
      <x:c r="C12" s="12" t="str">
        <x:v>Udyam digital assistance ₹300</x:v>
      </x:c>
      <x:c r="D12" s="12" t="str">
        <x:v>Official portal states registration is free.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8" hidden="0" customWidth="1"/>
    <x:col min="4" max="4" width="20" hidden="0" customWidth="1"/>
  </x:cols>
  <x:sheetData>
    <x:row r="1">
      <x:c r="A1" s="4" t="str">
        <x:v>Authority / Portal</x:v>
      </x:c>
      <x:c r="B1" s="4" t="str">
        <x:v>Used For</x:v>
      </x:c>
      <x:c r="C1" s="4" t="str">
        <x:v>Official URL</x:v>
      </x:c>
      <x:c r="D1" s="4" t="str">
        <x:v>Status</x:v>
      </x:c>
    </x:row>
    <x:row r="2">
      <x:c r="A2" s="12" t="str">
        <x:v>Udyam Registration</x:v>
      </x:c>
      <x:c r="B2" s="12" t="str">
        <x:v>MSME registration; official portal states registration is free</x:v>
      </x:c>
      <x:c r="C2" s="12" t="str">
        <x:v>https://udyamregistration.gov.in/</x:v>
      </x:c>
      <x:c r="D2" s="12" t="str">
        <x:v>Verified 29-Sep-2026</x:v>
      </x:c>
    </x:row>
    <x:row r="3">
      <x:c r="A3" s="12" t="str">
        <x:v>Maharashtra FDA</x:v>
      </x:c>
      <x:c r="B3" s="12" t="str">
        <x:v>Drug licence / pharmacy regulatory services</x:v>
      </x:c>
      <x:c r="C3" s="12" t="str">
        <x:v>https://fda.maharashtra.gov.in/</x:v>
      </x:c>
      <x:c r="D3" s="12" t="str">
        <x:v>Verified 29-Sep-2026</x:v>
      </x:c>
    </x:row>
    <x:row r="4">
      <x:c r="A4" s="12" t="str">
        <x:v>FoSCoS / FSSAI</x:v>
      </x:c>
      <x:c r="B4" s="12" t="str">
        <x:v>Food business registration/licensing</x:v>
      </x:c>
      <x:c r="C4" s="12" t="str">
        <x:v>https://foscos.fssai.gov.in/</x:v>
      </x:c>
      <x:c r="D4" s="12" t="str">
        <x:v>Verified 29-Sep-2026</x:v>
      </x:c>
    </x:row>
    <x:row r="5">
      <x:c r="A5" s="12" t="str">
        <x:v>MahaRERA</x:v>
      </x:c>
      <x:c r="B5" s="12" t="str">
        <x:v>Real estate agent/project regulatory services</x:v>
      </x:c>
      <x:c r="C5" s="12" t="str">
        <x:v>https://maharera.maharashtra.gov.in/</x:v>
      </x:c>
      <x:c r="D5" s="12" t="str">
        <x:v>Verified 29-Sep-2026</x:v>
      </x:c>
    </x:row>
    <x:row r="6">
      <x:c r="A6" s="12" t="str">
        <x:v>Maharashtra GST Department – PT</x:v>
      </x:c>
      <x:c r="B6" s="12" t="str">
        <x:v>PTEC/PTRC registration</x:v>
      </x:c>
      <x:c r="C6" s="12" t="str">
        <x:v>https://www.mahagst.gov.in/user-registration/pt</x:v>
      </x:c>
      <x:c r="D6" s="12" t="str">
        <x:v>Verified 29-Sep-2026</x:v>
      </x:c>
    </x:row>
    <x:row r="7">
      <x:c r="A7" s="12" t="str">
        <x:v>GST Portal</x:v>
      </x:c>
      <x:c r="B7" s="12" t="str">
        <x:v>GST registration/amendment/cancellation</x:v>
      </x:c>
      <x:c r="C7" s="12" t="str">
        <x:v>https://www.gst.gov.in/</x:v>
      </x:c>
      <x:c r="D7" s="12" t="str">
        <x:v>Reference portal</x:v>
      </x:c>
    </x:row>
    <x:row r="8">
      <x:c r="A8" s="12" t="str">
        <x:v>DGFT</x:v>
      </x:c>
      <x:c r="B8" s="12" t="str">
        <x:v>IEC/import-export services</x:v>
      </x:c>
      <x:c r="C8" s="12" t="str">
        <x:v>https://www.dgft.gov.in/CP/</x:v>
      </x:c>
      <x:c r="D8" s="12" t="str">
        <x:v>Reference portal</x:v>
      </x:c>
    </x:row>
    <x:row r="9">
      <x:c r="A9" s="12" t="str">
        <x:v>EPFO Employer Portal</x:v>
      </x:c>
      <x:c r="B9" s="12" t="str">
        <x:v>Employer EPFO services</x:v>
      </x:c>
      <x:c r="C9" s="12" t="str">
        <x:v>https://unifiedportal-emp.epfindia.gov.in/epfo/</x:v>
      </x:c>
      <x:c r="D9" s="12" t="str">
        <x:v>Verified 29-Sep-2026</x:v>
      </x:c>
    </x:row>
    <x:row r="10">
      <x:c r="A10" s="12" t="str">
        <x:v>ESIC</x:v>
      </x:c>
      <x:c r="B10" s="12" t="str">
        <x:v>Employer ESIC services</x:v>
      </x:c>
      <x:c r="C10" s="12" t="str">
        <x:v>https://www.esic.gov.in/</x:v>
      </x:c>
      <x:c r="D10" s="12" t="str">
        <x:v>Reference portal</x:v>
      </x:c>
    </x:row>
    <x:row r="11">
      <x:c r="A11" s="12" t="str">
        <x:v>UIDAI</x:v>
      </x:c>
      <x:c r="B11" s="12" t="str">
        <x:v>Aadhaar official services/authorized centres</x:v>
      </x:c>
      <x:c r="C11" s="12" t="str">
        <x:v>https://uidai.gov.in/</x:v>
      </x:c>
      <x:c r="D11" s="12" t="str">
        <x:v>Reference portal</x:v>
      </x:c>
    </x:row>
    <x:row r="12">
      <x:c r="A12" s="12" t="str">
        <x:v>Passport Seva</x:v>
      </x:c>
      <x:c r="B12" s="12" t="str">
        <x:v>Passport applications</x:v>
      </x:c>
      <x:c r="C12" s="12" t="str">
        <x:v>https://www.passportindia.gov.in/</x:v>
      </x:c>
      <x:c r="D12" s="12" t="str">
        <x:v>Reference portal</x:v>
      </x:c>
    </x:row>
    <x:row r="13">
      <x:c r="A13" s="12" t="str">
        <x:v>Voters' Service Portal</x:v>
      </x:c>
      <x:c r="B13" s="12" t="str">
        <x:v>Voter ID services</x:v>
      </x:c>
      <x:c r="C13" s="12" t="str">
        <x:v>https://voters.eci.gov.in/</x:v>
      </x:c>
      <x:c r="D13" s="12" t="str">
        <x:v>Reference portal</x:v>
      </x:c>
    </x:row>
    <x:row r="14">
      <x:c r="A14" s="12" t="str">
        <x:v>Parivahan</x:v>
      </x:c>
      <x:c r="B14" s="12" t="str">
        <x:v>Driving licence / vehicle services</x:v>
      </x:c>
      <x:c r="C14" s="12" t="str">
        <x:v>https://parivahan.gov.in/</x:v>
      </x:c>
      <x:c r="D14" s="12" t="str">
        <x:v>Reference portal</x:v>
      </x:c>
    </x:row>
  </x:sheetData>
  <x:pageMargins left="0.7" right="0.7" top="0.75" bottom="0.75" header="0.3" footer="0.3"/>
  <x:tableParts count="1">
    <x:tablePart xmlns:r="http://schemas.openxmlformats.org/officeDocument/2006/relationships" r:id="R5fd6cbaeabbd410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8" t="str">
        <x:v>SARATHI DIGITAL SEVA KENDRA — SERVICE &amp; PRICING DASHBOARD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4">
      <x:c r="A4" s="6" t="str">
        <x:v>Total Services</x:v>
      </x:c>
      <x:c r="B4" s="6" t="str">
        <x:v>Customer-Facing</x:v>
      </x:c>
      <x:c r="C4" s="6" t="str">
        <x:v>Regulated / Verify</x:v>
      </x:c>
      <x:c r="D4" s="6" t="str">
        <x:v>Avg. Final Charge</x:v>
      </x:c>
      <x:c r="E4" s="6" t="str">
        <x:v>High-Value ≥ ₹1,000</x:v>
      </x:c>
      <x:c r="F4" s="6" t="str">
        <x:v>Packages</x:v>
      </x:c>
      <x:c r="G4" s="6" t="str">
        <x:v>Last Review</x:v>
      </x:c>
      <x:c r="H4" s="6" t="str">
        <x:v>Next Price Review</x:v>
      </x:c>
    </x:row>
    <x:row r="5">
      <x:c r="A5" s="78" t="n">
        <x:f>COUNTA('Master Catalogue'!C2:C178)</x:f>
        <x:v>177</x:v>
      </x:c>
      <x:c r="B5" s="78" t="n">
        <x:f>COUNTIF('Master Catalogue'!K2:K178,"Yes")</x:f>
        <x:v>177</x:v>
      </x:c>
      <x:c r="C5" s="78" t="n">
        <x:f>COUNTIF('Master Catalogue'!L2:L178,"Yes")</x:f>
        <x:v>88</x:v>
      </x:c>
      <x:c r="D5" s="79" t="n">
        <x:f>AVERAGE('Master Catalogue'!E2:E178)</x:f>
        <x:v>933.0621468926554</x:v>
      </x:c>
      <x:c r="E5" s="78" t="n">
        <x:f>COUNTIF('Master Catalogue'!E2:E178,"&gt;=1000")</x:f>
        <x:v>53</x:v>
      </x:c>
      <x:c r="F5" s="78" t="n">
        <x:f>COUNTA(Packages!A2:A15)</x:f>
        <x:v>14</x:v>
      </x:c>
      <x:c r="G5" s="80" t="n">
        <x:v>46294</x:v>
      </x:c>
      <x:c r="H5" s="80" t="n">
        <x:v>46385</x:v>
      </x:c>
    </x:row>
    <x:row r="8">
      <x:c r="A8" s="4" t="str">
        <x:v>Category</x:v>
      </x:c>
      <x:c r="B8" s="4" t="str">
        <x:v>Services</x:v>
      </x:c>
      <x:c r="C8" s="4" t="str">
        <x:v>Average Customer Charge (₹)</x:v>
      </x:c>
    </x:row>
    <x:row r="9">
      <x:c r="A9" s="12" t="str">
        <x:v>Government &amp; Citizen Services</x:v>
      </x:c>
      <x:c r="B9" s="12" t="n">
        <x:f>COUNTIF('Master Catalogue'!B$2:B$178,A9)</x:f>
        <x:v>30</x:v>
      </x:c>
      <x:c r="C9" s="44" t="n">
        <x:f>IFERROR(AVERAGEIF('Master Catalogue'!B$2:B$178,A9,'Master Catalogue'!E$2:E$178),0)</x:f>
        <x:v>425</x:v>
      </x:c>
    </x:row>
    <x:row r="10">
      <x:c r="A10" s="12" t="str">
        <x:v>Business Registration &amp; Compliance</x:v>
      </x:c>
      <x:c r="B10" s="12" t="n">
        <x:f>COUNTIF('Master Catalogue'!B$2:B$178,A10)</x:f>
        <x:v>24</x:v>
      </x:c>
      <x:c r="C10" s="44" t="n">
        <x:f>IFERROR(AVERAGEIF('Master Catalogue'!B$2:B$178,A10,'Master Catalogue'!E$2:E$178),0)</x:f>
        <x:v>897.9166666666666</x:v>
      </x:c>
    </x:row>
    <x:row r="11">
      <x:c r="A11" s="12" t="str">
        <x:v>Pharmacy &amp; Healthcare</x:v>
      </x:c>
      <x:c r="B11" s="12" t="n">
        <x:f>COUNTIF('Master Catalogue'!B$2:B$178,A11)</x:f>
        <x:v>13</x:v>
      </x:c>
      <x:c r="C11" s="44" t="n">
        <x:f>IFERROR(AVERAGEIF('Master Catalogue'!B$2:B$178,A11,'Master Catalogue'!E$2:E$178),0)</x:f>
        <x:v>1353.8461538461538</x:v>
      </x:c>
    </x:row>
    <x:row r="12">
      <x:c r="A12" s="12" t="str">
        <x:v>Food, Restaurant &amp; Hospitality</x:v>
      </x:c>
      <x:c r="B12" s="12" t="n">
        <x:f>COUNTIF('Master Catalogue'!B$2:B$178,A12)</x:f>
        <x:v>10</x:v>
      </x:c>
      <x:c r="C12" s="44" t="n">
        <x:f>IFERROR(AVERAGEIF('Master Catalogue'!B$2:B$178,A12,'Master Catalogue'!E$2:E$178),0)</x:f>
        <x:v>1669.9</x:v>
      </x:c>
    </x:row>
    <x:row r="13">
      <x:c r="A13" s="12" t="str">
        <x:v>Property &amp; Real Estate</x:v>
      </x:c>
      <x:c r="B13" s="12" t="n">
        <x:f>COUNTIF('Master Catalogue'!B$2:B$178,A13)</x:f>
        <x:v>10</x:v>
      </x:c>
      <x:c r="C13" s="44" t="n">
        <x:f>IFERROR(AVERAGEIF('Master Catalogue'!B$2:B$178,A13,'Master Catalogue'!E$2:E$178),0)</x:f>
        <x:v>1100</x:v>
      </x:c>
    </x:row>
    <x:row r="14">
      <x:c r="A14" s="12" t="str">
        <x:v>E-commerce &amp; Import-Export</x:v>
      </x:c>
      <x:c r="B14" s="12" t="n">
        <x:f>COUNTIF('Master Catalogue'!B$2:B$178,A14)</x:f>
        <x:v>10</x:v>
      </x:c>
      <x:c r="C14" s="44" t="n">
        <x:f>IFERROR(AVERAGEIF('Master Catalogue'!B$2:B$178,A14,'Master Catalogue'!E$2:E$178),0)</x:f>
        <x:v>1144.9</x:v>
      </x:c>
    </x:row>
    <x:row r="15">
      <x:c r="A15" s="12" t="str">
        <x:v>Student &amp; Career Services</x:v>
      </x:c>
      <x:c r="B15" s="12" t="n">
        <x:f>COUNTIF('Master Catalogue'!B$2:B$178,A15)</x:f>
        <x:v>16</x:v>
      </x:c>
      <x:c r="C15" s="44" t="n">
        <x:f>IFERROR(AVERAGEIF('Master Catalogue'!B$2:B$178,A15,'Master Catalogue'!E$2:E$178),0)</x:f>
        <x:v>434.375</x:v>
      </x:c>
    </x:row>
    <x:row r="16">
      <x:c r="A16" s="12" t="str">
        <x:v>Design &amp; Business Growth</x:v>
      </x:c>
      <x:c r="B16" s="12" t="n">
        <x:f>COUNTIF('Master Catalogue'!B$2:B$178,A16)</x:f>
        <x:v>20</x:v>
      </x:c>
      <x:c r="C16" s="44" t="n">
        <x:f>IFERROR(AVERAGEIF('Master Catalogue'!B$2:B$178,A16,'Master Catalogue'!E$2:E$178),0)</x:f>
        <x:v>1887.45</x:v>
      </x:c>
    </x:row>
    <x:row r="17">
      <x:c r="A17" s="12" t="str">
        <x:v>Printing, Photo &amp; Office Services</x:v>
      </x:c>
      <x:c r="B17" s="12" t="n">
        <x:f>COUNTIF('Master Catalogue'!B$2:B$178,A17)</x:f>
        <x:v>20</x:v>
      </x:c>
      <x:c r="C17" s="44" t="n">
        <x:f>IFERROR(AVERAGEIF('Master Catalogue'!B$2:B$178,A17,'Master Catalogue'!E$2:E$178),0)</x:f>
        <x:v>135.25</x:v>
      </x:c>
    </x:row>
    <x:row r="18">
      <x:c r="A18" s="12" t="str">
        <x:v>Sarathi Smart Solutions</x:v>
      </x:c>
      <x:c r="B18" s="12" t="n">
        <x:f>COUNTIF('Master Catalogue'!B$2:B$178,A18)</x:f>
        <x:v>24</x:v>
      </x:c>
      <x:c r="C18" s="44" t="n">
        <x:f>IFERROR(AVERAGEIF('Master Catalogue'!B$2:B$178,A18,'Master Catalogue'!E$2:E$178),0)</x:f>
        <x:v>1112.5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7d59aae33c574cd6"/>
</x:worksheet>
</file>